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rry.davis\Downloads\"/>
    </mc:Choice>
  </mc:AlternateContent>
  <xr:revisionPtr revIDLastSave="0" documentId="8_{DCC03ADC-D0E2-4FC3-A9F2-C9E8060A0A8F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Metrics" sheetId="1" r:id="rId1"/>
  </sheets>
  <definedNames>
    <definedName name="_xlnm._FilterDatabase" localSheetId="0" hidden="1">Metrics!$AO$1:$AO$32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8" i="1" l="1"/>
  <c r="DK10" i="1"/>
  <c r="DK11" i="1"/>
  <c r="DK12" i="1"/>
  <c r="DK13" i="1"/>
  <c r="DK14" i="1"/>
  <c r="DK15" i="1"/>
  <c r="DK16" i="1" s="1"/>
  <c r="DK20" i="1"/>
  <c r="DK21" i="1"/>
  <c r="DK26" i="1"/>
  <c r="DK18" i="1" s="1"/>
  <c r="DK27" i="1"/>
  <c r="DK19" i="1" s="1"/>
  <c r="DK28" i="1"/>
  <c r="DK29" i="1"/>
  <c r="DK30" i="1"/>
  <c r="DK22" i="1" s="1"/>
  <c r="DK31" i="1"/>
  <c r="DK23" i="1" s="1"/>
  <c r="DJ8" i="1"/>
  <c r="DJ26" i="1"/>
  <c r="DJ27" i="1"/>
  <c r="DJ28" i="1"/>
  <c r="DJ29" i="1"/>
  <c r="DJ30" i="1"/>
  <c r="DJ31" i="1"/>
  <c r="DI8" i="1"/>
  <c r="DI26" i="1"/>
  <c r="DI32" i="1" s="1"/>
  <c r="DI27" i="1"/>
  <c r="DI28" i="1"/>
  <c r="DI29" i="1"/>
  <c r="DI30" i="1"/>
  <c r="DI31" i="1"/>
  <c r="DH8" i="1"/>
  <c r="DH26" i="1"/>
  <c r="DH27" i="1"/>
  <c r="DH28" i="1"/>
  <c r="DH29" i="1"/>
  <c r="DH30" i="1"/>
  <c r="DH31" i="1"/>
  <c r="DG8" i="1"/>
  <c r="DG26" i="1"/>
  <c r="DG27" i="1"/>
  <c r="DG28" i="1"/>
  <c r="DG29" i="1"/>
  <c r="DG30" i="1"/>
  <c r="DG31" i="1"/>
  <c r="DF8" i="1"/>
  <c r="DF26" i="1"/>
  <c r="DF27" i="1"/>
  <c r="DF28" i="1"/>
  <c r="DF29" i="1"/>
  <c r="DF30" i="1"/>
  <c r="DF31" i="1"/>
  <c r="DE8" i="1"/>
  <c r="DE26" i="1"/>
  <c r="DE27" i="1"/>
  <c r="DE28" i="1"/>
  <c r="DE29" i="1"/>
  <c r="DE30" i="1"/>
  <c r="DE31" i="1"/>
  <c r="DD8" i="1"/>
  <c r="DD26" i="1"/>
  <c r="DD27" i="1"/>
  <c r="DD28" i="1"/>
  <c r="DD29" i="1"/>
  <c r="DD30" i="1"/>
  <c r="DD31" i="1"/>
  <c r="DC8" i="1"/>
  <c r="DC26" i="1"/>
  <c r="DC27" i="1"/>
  <c r="DC28" i="1"/>
  <c r="DC29" i="1"/>
  <c r="DC30" i="1"/>
  <c r="DC31" i="1"/>
  <c r="DB8" i="1"/>
  <c r="DB26" i="1"/>
  <c r="DB27" i="1"/>
  <c r="DB28" i="1"/>
  <c r="DB29" i="1"/>
  <c r="DB30" i="1"/>
  <c r="DB31" i="1"/>
  <c r="DA8" i="1"/>
  <c r="DA26" i="1"/>
  <c r="DA27" i="1"/>
  <c r="DA28" i="1"/>
  <c r="DA29" i="1"/>
  <c r="DA30" i="1"/>
  <c r="DA31" i="1"/>
  <c r="CZ8" i="1"/>
  <c r="CZ26" i="1"/>
  <c r="CZ27" i="1"/>
  <c r="CZ28" i="1"/>
  <c r="CZ29" i="1"/>
  <c r="CZ30" i="1"/>
  <c r="CZ31" i="1"/>
  <c r="CY8" i="1"/>
  <c r="CY26" i="1"/>
  <c r="CY27" i="1"/>
  <c r="CY28" i="1"/>
  <c r="CY29" i="1"/>
  <c r="CY30" i="1"/>
  <c r="CY31" i="1"/>
  <c r="CX8" i="1"/>
  <c r="CX26" i="1"/>
  <c r="CX27" i="1"/>
  <c r="CX28" i="1"/>
  <c r="CX29" i="1"/>
  <c r="CX30" i="1"/>
  <c r="CX31" i="1"/>
  <c r="CW8" i="1"/>
  <c r="CW26" i="1"/>
  <c r="CW27" i="1"/>
  <c r="CW28" i="1"/>
  <c r="CW29" i="1"/>
  <c r="CW30" i="1"/>
  <c r="CW31" i="1"/>
  <c r="CV8" i="1"/>
  <c r="CV26" i="1"/>
  <c r="CV27" i="1"/>
  <c r="CV28" i="1"/>
  <c r="CV29" i="1"/>
  <c r="CV30" i="1"/>
  <c r="CV31" i="1"/>
  <c r="CU8" i="1"/>
  <c r="CU26" i="1"/>
  <c r="CU27" i="1"/>
  <c r="CU28" i="1"/>
  <c r="CU29" i="1"/>
  <c r="CU30" i="1"/>
  <c r="CU31" i="1"/>
  <c r="CT8" i="1"/>
  <c r="CT26" i="1"/>
  <c r="CT27" i="1"/>
  <c r="CT28" i="1"/>
  <c r="CT29" i="1"/>
  <c r="CT30" i="1"/>
  <c r="CT31" i="1"/>
  <c r="CS8" i="1"/>
  <c r="CS26" i="1"/>
  <c r="CS27" i="1"/>
  <c r="CS28" i="1"/>
  <c r="CS29" i="1"/>
  <c r="CS30" i="1"/>
  <c r="CS31" i="1"/>
  <c r="CR8" i="1"/>
  <c r="CR26" i="1"/>
  <c r="CR27" i="1"/>
  <c r="CR28" i="1"/>
  <c r="CR29" i="1"/>
  <c r="CR30" i="1"/>
  <c r="CR31" i="1"/>
  <c r="CQ8" i="1"/>
  <c r="CQ26" i="1"/>
  <c r="CQ27" i="1"/>
  <c r="CQ28" i="1"/>
  <c r="CQ29" i="1"/>
  <c r="CQ30" i="1"/>
  <c r="CQ31" i="1"/>
  <c r="CP8" i="1"/>
  <c r="CP26" i="1"/>
  <c r="CP27" i="1"/>
  <c r="CP28" i="1"/>
  <c r="CP29" i="1"/>
  <c r="CP30" i="1"/>
  <c r="CP31" i="1"/>
  <c r="CO8" i="1"/>
  <c r="CO26" i="1"/>
  <c r="CO27" i="1"/>
  <c r="CO28" i="1"/>
  <c r="CO29" i="1"/>
  <c r="CO30" i="1"/>
  <c r="CO31" i="1"/>
  <c r="CN8" i="1"/>
  <c r="CN26" i="1"/>
  <c r="CN27" i="1"/>
  <c r="CN28" i="1"/>
  <c r="CN29" i="1"/>
  <c r="CN30" i="1"/>
  <c r="CN31" i="1"/>
  <c r="CM26" i="1"/>
  <c r="CM27" i="1"/>
  <c r="CM28" i="1"/>
  <c r="CM29" i="1"/>
  <c r="CM30" i="1"/>
  <c r="CM31" i="1"/>
  <c r="CM8" i="1"/>
  <c r="CL26" i="1"/>
  <c r="CL27" i="1"/>
  <c r="CL28" i="1"/>
  <c r="CL29" i="1"/>
  <c r="CL30" i="1"/>
  <c r="CL31" i="1"/>
  <c r="CL8" i="1"/>
  <c r="DK24" i="1" l="1"/>
  <c r="DK32" i="1"/>
  <c r="DJ32" i="1"/>
  <c r="DH32" i="1"/>
  <c r="DG32" i="1"/>
  <c r="DF32" i="1"/>
  <c r="DD32" i="1"/>
  <c r="DE32" i="1"/>
  <c r="DC32" i="1"/>
  <c r="DB32" i="1"/>
  <c r="DA32" i="1"/>
  <c r="CZ32" i="1"/>
  <c r="CW32" i="1"/>
  <c r="CY32" i="1"/>
  <c r="CR32" i="1"/>
  <c r="CX32" i="1"/>
  <c r="CS32" i="1"/>
  <c r="CV32" i="1"/>
  <c r="CT32" i="1"/>
  <c r="CU32" i="1"/>
  <c r="CQ32" i="1"/>
  <c r="CP32" i="1"/>
  <c r="CO32" i="1"/>
  <c r="CN32" i="1"/>
  <c r="CM32" i="1"/>
  <c r="CL32" i="1"/>
  <c r="CK26" i="1" l="1"/>
  <c r="CK27" i="1"/>
  <c r="CK28" i="1"/>
  <c r="CK29" i="1"/>
  <c r="CK30" i="1"/>
  <c r="CK31" i="1"/>
  <c r="CK8" i="1"/>
  <c r="CJ26" i="1"/>
  <c r="CJ27" i="1"/>
  <c r="CJ28" i="1"/>
  <c r="CJ29" i="1"/>
  <c r="CJ30" i="1"/>
  <c r="CJ31" i="1"/>
  <c r="CJ8" i="1"/>
  <c r="CK32" i="1" l="1"/>
  <c r="CJ32" i="1"/>
  <c r="CI26" i="1" l="1"/>
  <c r="CI27" i="1"/>
  <c r="CI28" i="1"/>
  <c r="CI29" i="1"/>
  <c r="CI30" i="1"/>
  <c r="CI31" i="1"/>
  <c r="CI8" i="1"/>
  <c r="CH26" i="1"/>
  <c r="CH27" i="1"/>
  <c r="CH28" i="1"/>
  <c r="CH29" i="1"/>
  <c r="CH30" i="1"/>
  <c r="CH31" i="1"/>
  <c r="CH8" i="1"/>
  <c r="CG26" i="1"/>
  <c r="CG27" i="1"/>
  <c r="CG28" i="1"/>
  <c r="CG29" i="1"/>
  <c r="CG30" i="1"/>
  <c r="CG31" i="1"/>
  <c r="CG8" i="1"/>
  <c r="CF26" i="1"/>
  <c r="CF27" i="1"/>
  <c r="CF28" i="1"/>
  <c r="CF29" i="1"/>
  <c r="CF30" i="1"/>
  <c r="CF31" i="1"/>
  <c r="CF8" i="1"/>
  <c r="CE26" i="1"/>
  <c r="CE27" i="1"/>
  <c r="CE28" i="1"/>
  <c r="CE29" i="1"/>
  <c r="CE30" i="1"/>
  <c r="CE31" i="1"/>
  <c r="CE8" i="1"/>
  <c r="CB26" i="1"/>
  <c r="CC26" i="1"/>
  <c r="CD26" i="1"/>
  <c r="CB27" i="1"/>
  <c r="CC27" i="1"/>
  <c r="CD27" i="1"/>
  <c r="CB28" i="1"/>
  <c r="CC28" i="1"/>
  <c r="CD28" i="1"/>
  <c r="CB29" i="1"/>
  <c r="CC29" i="1"/>
  <c r="CD29" i="1"/>
  <c r="CB30" i="1"/>
  <c r="CC30" i="1"/>
  <c r="CD30" i="1"/>
  <c r="CB31" i="1"/>
  <c r="CC31" i="1"/>
  <c r="CD31" i="1"/>
  <c r="CA31" i="1"/>
  <c r="CA27" i="1"/>
  <c r="CA28" i="1"/>
  <c r="CA29" i="1"/>
  <c r="CA30" i="1"/>
  <c r="CA26" i="1"/>
  <c r="BP26" i="1"/>
  <c r="BQ26" i="1"/>
  <c r="BR26" i="1"/>
  <c r="BS26" i="1"/>
  <c r="BT26" i="1"/>
  <c r="BU26" i="1"/>
  <c r="BV26" i="1"/>
  <c r="BW26" i="1"/>
  <c r="BX26" i="1"/>
  <c r="BY26" i="1"/>
  <c r="BZ26" i="1"/>
  <c r="BP27" i="1"/>
  <c r="BQ27" i="1"/>
  <c r="BR27" i="1"/>
  <c r="BS27" i="1"/>
  <c r="BT27" i="1"/>
  <c r="BU27" i="1"/>
  <c r="BV27" i="1"/>
  <c r="BW27" i="1"/>
  <c r="BX27" i="1"/>
  <c r="BY27" i="1"/>
  <c r="BZ27" i="1"/>
  <c r="BP28" i="1"/>
  <c r="BQ28" i="1"/>
  <c r="BR28" i="1"/>
  <c r="BS28" i="1"/>
  <c r="BT28" i="1"/>
  <c r="BU28" i="1"/>
  <c r="BV28" i="1"/>
  <c r="BW28" i="1"/>
  <c r="BX28" i="1"/>
  <c r="BY28" i="1"/>
  <c r="BZ28" i="1"/>
  <c r="BP29" i="1"/>
  <c r="BQ29" i="1"/>
  <c r="BR29" i="1"/>
  <c r="BS29" i="1"/>
  <c r="BT29" i="1"/>
  <c r="BU29" i="1"/>
  <c r="BV29" i="1"/>
  <c r="BW29" i="1"/>
  <c r="BX29" i="1"/>
  <c r="BY29" i="1"/>
  <c r="BZ29" i="1"/>
  <c r="BP30" i="1"/>
  <c r="BQ30" i="1"/>
  <c r="BR30" i="1"/>
  <c r="BS30" i="1"/>
  <c r="BT30" i="1"/>
  <c r="BU30" i="1"/>
  <c r="BV30" i="1"/>
  <c r="BW30" i="1"/>
  <c r="BX30" i="1"/>
  <c r="BY30" i="1"/>
  <c r="BZ30" i="1"/>
  <c r="BP31" i="1"/>
  <c r="BQ31" i="1"/>
  <c r="BR31" i="1"/>
  <c r="BS31" i="1"/>
  <c r="BT31" i="1"/>
  <c r="BU31" i="1"/>
  <c r="BV31" i="1"/>
  <c r="BW31" i="1"/>
  <c r="BX31" i="1"/>
  <c r="BY31" i="1"/>
  <c r="BZ31" i="1"/>
  <c r="BO27" i="1"/>
  <c r="BO28" i="1"/>
  <c r="BO29" i="1"/>
  <c r="BO30" i="1"/>
  <c r="BO31" i="1"/>
  <c r="BO26" i="1"/>
  <c r="CI32" i="1" l="1"/>
  <c r="CH32" i="1"/>
  <c r="CG32" i="1"/>
  <c r="BU32" i="1"/>
  <c r="CF32" i="1"/>
  <c r="BQ32" i="1"/>
  <c r="BY32" i="1"/>
  <c r="BT32" i="1"/>
  <c r="BV32" i="1"/>
  <c r="BX32" i="1"/>
  <c r="BP32" i="1"/>
  <c r="BS32" i="1"/>
  <c r="BW32" i="1"/>
  <c r="BZ32" i="1"/>
  <c r="BR32" i="1"/>
  <c r="CE32" i="1"/>
  <c r="CD32" i="1"/>
  <c r="CD8" i="1"/>
  <c r="CC8" i="1" l="1"/>
  <c r="CC32" i="1" l="1"/>
  <c r="CB8" i="1"/>
  <c r="CB32" i="1" l="1"/>
  <c r="CA8" i="1"/>
  <c r="CA32" i="1"/>
  <c r="BZ8" i="1" l="1"/>
  <c r="BY8" i="1" l="1"/>
  <c r="BX8" i="1" l="1"/>
  <c r="BW8" i="1" l="1"/>
  <c r="BV8" i="1" l="1"/>
  <c r="BU8" i="1" l="1"/>
  <c r="BT8" i="1" l="1"/>
  <c r="BS8" i="1" l="1"/>
  <c r="BR8" i="1" l="1"/>
  <c r="BQ8" i="1" l="1"/>
  <c r="BP8" i="1" l="1"/>
  <c r="BO8" i="1" l="1"/>
  <c r="BO32" i="1" l="1"/>
  <c r="BN26" i="1"/>
  <c r="BN27" i="1"/>
  <c r="BN28" i="1"/>
  <c r="BN29" i="1"/>
  <c r="BN30" i="1"/>
  <c r="BN31" i="1"/>
  <c r="BN8" i="1"/>
  <c r="BN32" i="1" l="1"/>
  <c r="BM26" i="1"/>
  <c r="BM27" i="1"/>
  <c r="BM28" i="1"/>
  <c r="BM29" i="1"/>
  <c r="BM30" i="1"/>
  <c r="BM31" i="1"/>
  <c r="BM8" i="1"/>
  <c r="BM32" i="1" l="1"/>
  <c r="BL26" i="1"/>
  <c r="BL27" i="1"/>
  <c r="BL28" i="1"/>
  <c r="BL29" i="1"/>
  <c r="BL30" i="1"/>
  <c r="BL31" i="1"/>
  <c r="BL8" i="1"/>
  <c r="BL32" i="1" l="1"/>
  <c r="BK26" i="1"/>
  <c r="BK27" i="1"/>
  <c r="BK28" i="1"/>
  <c r="BK29" i="1"/>
  <c r="BK30" i="1"/>
  <c r="BK31" i="1"/>
  <c r="BK8" i="1"/>
  <c r="BK32" i="1" l="1"/>
  <c r="BJ26" i="1"/>
  <c r="BJ27" i="1"/>
  <c r="BJ28" i="1"/>
  <c r="BJ29" i="1"/>
  <c r="BJ30" i="1"/>
  <c r="BJ31" i="1"/>
  <c r="BJ8" i="1"/>
  <c r="BJ32" i="1" l="1"/>
  <c r="BI26" i="1"/>
  <c r="BI27" i="1"/>
  <c r="BI28" i="1"/>
  <c r="BI29" i="1"/>
  <c r="BI30" i="1"/>
  <c r="BI31" i="1"/>
  <c r="BI8" i="1"/>
  <c r="BI32" i="1" l="1"/>
  <c r="BH26" i="1"/>
  <c r="BH27" i="1"/>
  <c r="BH28" i="1"/>
  <c r="BH29" i="1"/>
  <c r="BH30" i="1"/>
  <c r="BH31" i="1"/>
  <c r="BH8" i="1"/>
  <c r="BH32" i="1" l="1"/>
  <c r="BG26" i="1"/>
  <c r="BG27" i="1"/>
  <c r="BG28" i="1"/>
  <c r="BG29" i="1"/>
  <c r="BG30" i="1"/>
  <c r="BG31" i="1"/>
  <c r="BG8" i="1"/>
  <c r="BG32" i="1" l="1"/>
  <c r="BF26" i="1"/>
  <c r="BF27" i="1"/>
  <c r="BF28" i="1"/>
  <c r="BF29" i="1"/>
  <c r="BF30" i="1"/>
  <c r="BF31" i="1"/>
  <c r="BF8" i="1"/>
  <c r="BF32" i="1" l="1"/>
  <c r="BE26" i="1"/>
  <c r="BE27" i="1"/>
  <c r="BE28" i="1"/>
  <c r="BE29" i="1"/>
  <c r="BE30" i="1"/>
  <c r="BE31" i="1"/>
  <c r="BE8" i="1"/>
  <c r="BE32" i="1" l="1"/>
  <c r="BD26" i="1"/>
  <c r="BD27" i="1"/>
  <c r="BD28" i="1"/>
  <c r="BD29" i="1"/>
  <c r="BD30" i="1"/>
  <c r="BD31" i="1"/>
  <c r="BD8" i="1"/>
  <c r="BD32" i="1" l="1"/>
  <c r="BC27" i="1"/>
  <c r="BC28" i="1"/>
  <c r="BC29" i="1"/>
  <c r="BC30" i="1"/>
  <c r="BC31" i="1"/>
  <c r="BC26" i="1"/>
  <c r="BC8" i="1"/>
  <c r="BC32" i="1" l="1"/>
  <c r="BB26" i="1"/>
  <c r="BB27" i="1"/>
  <c r="BB28" i="1"/>
  <c r="BB29" i="1"/>
  <c r="BB30" i="1"/>
  <c r="BB31" i="1"/>
  <c r="BB32" i="1" l="1"/>
  <c r="BB8" i="1"/>
  <c r="BA26" i="1" l="1"/>
  <c r="BA27" i="1"/>
  <c r="BA28" i="1"/>
  <c r="BA29" i="1"/>
  <c r="BA30" i="1"/>
  <c r="BA31" i="1"/>
  <c r="BA8" i="1"/>
  <c r="BA32" i="1" l="1"/>
  <c r="AZ26" i="1"/>
  <c r="AZ27" i="1"/>
  <c r="AZ28" i="1"/>
  <c r="AZ29" i="1"/>
  <c r="AZ30" i="1"/>
  <c r="AZ31" i="1"/>
  <c r="AZ8" i="1"/>
  <c r="AZ32" i="1" l="1"/>
  <c r="AY26" i="1"/>
  <c r="AY27" i="1"/>
  <c r="AY28" i="1"/>
  <c r="AY29" i="1"/>
  <c r="AY30" i="1"/>
  <c r="AY31" i="1"/>
  <c r="AY8" i="1"/>
  <c r="AY32" i="1" l="1"/>
  <c r="AX26" i="1"/>
  <c r="AX27" i="1"/>
  <c r="AX28" i="1"/>
  <c r="AX29" i="1"/>
  <c r="AX30" i="1"/>
  <c r="AX31" i="1"/>
  <c r="AX8" i="1"/>
  <c r="AX32" i="1" l="1"/>
  <c r="B2" i="1"/>
  <c r="D2" i="1"/>
  <c r="AW26" i="1"/>
  <c r="AW27" i="1"/>
  <c r="AW28" i="1"/>
  <c r="AW29" i="1"/>
  <c r="AW30" i="1"/>
  <c r="AW31" i="1"/>
  <c r="AV27" i="1"/>
  <c r="AV28" i="1"/>
  <c r="AV29" i="1"/>
  <c r="AV30" i="1"/>
  <c r="AV31" i="1"/>
  <c r="AW32" i="1" l="1"/>
  <c r="AW8" i="1"/>
  <c r="AV8" i="1" l="1"/>
  <c r="AV26" i="1"/>
  <c r="AV32" i="1" l="1"/>
  <c r="AU26" i="1"/>
  <c r="AU27" i="1"/>
  <c r="AU28" i="1"/>
  <c r="AU29" i="1"/>
  <c r="AU30" i="1"/>
  <c r="AU31" i="1"/>
  <c r="AT27" i="1"/>
  <c r="AT28" i="1"/>
  <c r="AT29" i="1"/>
  <c r="AT30" i="1"/>
  <c r="AT31" i="1"/>
  <c r="AT26" i="1"/>
  <c r="AI26" i="1"/>
  <c r="AJ26" i="1"/>
  <c r="AK26" i="1"/>
  <c r="AL26" i="1"/>
  <c r="AM26" i="1"/>
  <c r="AN26" i="1"/>
  <c r="AO26" i="1"/>
  <c r="AP26" i="1"/>
  <c r="AQ26" i="1"/>
  <c r="AR26" i="1"/>
  <c r="AS26" i="1"/>
  <c r="AI27" i="1"/>
  <c r="AJ27" i="1"/>
  <c r="AK27" i="1"/>
  <c r="AL27" i="1"/>
  <c r="AM27" i="1"/>
  <c r="AN27" i="1"/>
  <c r="AO27" i="1"/>
  <c r="AP27" i="1"/>
  <c r="AQ27" i="1"/>
  <c r="AR27" i="1"/>
  <c r="AS27" i="1"/>
  <c r="AI28" i="1"/>
  <c r="AJ28" i="1"/>
  <c r="AK28" i="1"/>
  <c r="AL28" i="1"/>
  <c r="AM28" i="1"/>
  <c r="AN28" i="1"/>
  <c r="AO28" i="1"/>
  <c r="AP28" i="1"/>
  <c r="AQ28" i="1"/>
  <c r="AR28" i="1"/>
  <c r="AS28" i="1"/>
  <c r="AI29" i="1"/>
  <c r="AJ29" i="1"/>
  <c r="AK29" i="1"/>
  <c r="AL29" i="1"/>
  <c r="AM29" i="1"/>
  <c r="AN29" i="1"/>
  <c r="AO29" i="1"/>
  <c r="AP29" i="1"/>
  <c r="AQ29" i="1"/>
  <c r="AR29" i="1"/>
  <c r="AS29" i="1"/>
  <c r="AI30" i="1"/>
  <c r="AJ30" i="1"/>
  <c r="AK30" i="1"/>
  <c r="AL30" i="1"/>
  <c r="AM30" i="1"/>
  <c r="AN30" i="1"/>
  <c r="AO30" i="1"/>
  <c r="AP30" i="1"/>
  <c r="AQ30" i="1"/>
  <c r="AR30" i="1"/>
  <c r="AS30" i="1"/>
  <c r="AI31" i="1"/>
  <c r="AJ31" i="1"/>
  <c r="AK31" i="1"/>
  <c r="AL31" i="1"/>
  <c r="AM31" i="1"/>
  <c r="AN31" i="1"/>
  <c r="AO31" i="1"/>
  <c r="AP31" i="1"/>
  <c r="AQ31" i="1"/>
  <c r="AR31" i="1"/>
  <c r="AS31" i="1"/>
  <c r="AH27" i="1"/>
  <c r="AH28" i="1"/>
  <c r="AH29" i="1"/>
  <c r="AH30" i="1"/>
  <c r="AH31" i="1"/>
  <c r="AH26" i="1"/>
  <c r="AD26" i="1"/>
  <c r="AE26" i="1"/>
  <c r="AF26" i="1"/>
  <c r="AG26" i="1"/>
  <c r="AD27" i="1"/>
  <c r="AE27" i="1"/>
  <c r="AF27" i="1"/>
  <c r="AG27" i="1"/>
  <c r="AD28" i="1"/>
  <c r="AE28" i="1"/>
  <c r="AF28" i="1"/>
  <c r="AG28" i="1"/>
  <c r="AD29" i="1"/>
  <c r="AE29" i="1"/>
  <c r="AF29" i="1"/>
  <c r="AG29" i="1"/>
  <c r="AD30" i="1"/>
  <c r="AE30" i="1"/>
  <c r="AF30" i="1"/>
  <c r="AG30" i="1"/>
  <c r="AD31" i="1"/>
  <c r="AE31" i="1"/>
  <c r="AF31" i="1"/>
  <c r="AG31" i="1"/>
  <c r="AC27" i="1"/>
  <c r="AC28" i="1"/>
  <c r="AC29" i="1"/>
  <c r="AC30" i="1"/>
  <c r="AC31" i="1"/>
  <c r="AC26" i="1"/>
  <c r="Y26" i="1"/>
  <c r="Z26" i="1"/>
  <c r="AA26" i="1"/>
  <c r="AB26" i="1"/>
  <c r="Y27" i="1"/>
  <c r="Z27" i="1"/>
  <c r="AA27" i="1"/>
  <c r="AB27" i="1"/>
  <c r="Y28" i="1"/>
  <c r="Z28" i="1"/>
  <c r="AA28" i="1"/>
  <c r="AB28" i="1"/>
  <c r="Y29" i="1"/>
  <c r="Z29" i="1"/>
  <c r="AA29" i="1"/>
  <c r="AB29" i="1"/>
  <c r="Y30" i="1"/>
  <c r="Z30" i="1"/>
  <c r="AA30" i="1"/>
  <c r="AB30" i="1"/>
  <c r="Y31" i="1"/>
  <c r="Z31" i="1"/>
  <c r="AA31" i="1"/>
  <c r="AB31" i="1"/>
  <c r="X27" i="1"/>
  <c r="X28" i="1"/>
  <c r="X29" i="1"/>
  <c r="X30" i="1"/>
  <c r="X31" i="1"/>
  <c r="X26" i="1"/>
  <c r="AU8" i="1" l="1"/>
  <c r="AU32" i="1" l="1"/>
  <c r="AT8" i="1"/>
  <c r="AT32" i="1" l="1"/>
  <c r="AS8" i="1"/>
  <c r="AS32" i="1" l="1"/>
  <c r="AR8" i="1"/>
  <c r="AR32" i="1" l="1"/>
  <c r="AQ8" i="1"/>
  <c r="AQ32" i="1" l="1"/>
  <c r="AP8" i="1"/>
  <c r="AP32" i="1" l="1"/>
  <c r="AO8" i="1"/>
  <c r="AO32" i="1" l="1"/>
  <c r="AN8" i="1"/>
  <c r="AN32" i="1" l="1"/>
  <c r="AM8" i="1"/>
  <c r="AM32" i="1" l="1"/>
  <c r="AL8" i="1"/>
  <c r="AL32" i="1" l="1"/>
  <c r="AK8" i="1"/>
  <c r="AK32" i="1" l="1"/>
  <c r="AJ8" i="1"/>
  <c r="AJ32" i="1" l="1"/>
  <c r="AI8" i="1"/>
  <c r="AI32" i="1" l="1"/>
  <c r="AH8" i="1"/>
  <c r="AH32" i="1" l="1"/>
  <c r="AF8" i="1"/>
  <c r="AF32" i="1" l="1"/>
  <c r="AG8" i="1"/>
  <c r="AG32" i="1" l="1"/>
  <c r="AE8" i="1" l="1"/>
  <c r="AE32" i="1" l="1"/>
  <c r="AD8" i="1" l="1"/>
  <c r="AD32" i="1" l="1"/>
  <c r="AC8" i="1"/>
  <c r="AC32" i="1" l="1"/>
  <c r="AB8" i="1"/>
  <c r="AB32" i="1" l="1"/>
  <c r="AA8" i="1"/>
  <c r="AA32" i="1" l="1"/>
  <c r="Z8" i="1"/>
  <c r="Z32" i="1" l="1"/>
  <c r="Y8" i="1"/>
  <c r="Y32" i="1" l="1"/>
  <c r="X8" i="1"/>
  <c r="X32" i="1" l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C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C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C26" i="1"/>
  <c r="B15" i="1"/>
  <c r="B23" i="1" s="1"/>
  <c r="B14" i="1"/>
  <c r="B22" i="1" s="1"/>
  <c r="B13" i="1"/>
  <c r="C13" i="1" s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C8" i="1"/>
  <c r="D4" i="1"/>
  <c r="D28" i="1" s="1"/>
  <c r="B4" i="1"/>
  <c r="D3" i="1"/>
  <c r="D27" i="1" s="1"/>
  <c r="B3" i="1"/>
  <c r="B27" i="1" l="1"/>
  <c r="B26" i="1"/>
  <c r="B12" i="1"/>
  <c r="C12" i="1" s="1"/>
  <c r="D12" i="1" s="1"/>
  <c r="E12" i="1" s="1"/>
  <c r="B11" i="1"/>
  <c r="B19" i="1" s="1"/>
  <c r="T32" i="1"/>
  <c r="L32" i="1"/>
  <c r="B10" i="1"/>
  <c r="C10" i="1" s="1"/>
  <c r="B28" i="1"/>
  <c r="F32" i="1"/>
  <c r="J32" i="1"/>
  <c r="P32" i="1"/>
  <c r="N32" i="1"/>
  <c r="R32" i="1"/>
  <c r="C32" i="1"/>
  <c r="H32" i="1"/>
  <c r="V32" i="1"/>
  <c r="K32" i="1"/>
  <c r="S32" i="1"/>
  <c r="E32" i="1"/>
  <c r="U32" i="1"/>
  <c r="G32" i="1"/>
  <c r="O32" i="1"/>
  <c r="M32" i="1"/>
  <c r="B21" i="1"/>
  <c r="Q32" i="1"/>
  <c r="I32" i="1"/>
  <c r="D26" i="1"/>
  <c r="D32" i="1" s="1"/>
  <c r="D13" i="1"/>
  <c r="D21" i="1" s="1"/>
  <c r="C21" i="1"/>
  <c r="B8" i="1"/>
  <c r="D8" i="1"/>
  <c r="C14" i="1"/>
  <c r="C15" i="1"/>
  <c r="W32" i="1"/>
  <c r="B32" i="1" l="1"/>
  <c r="C11" i="1"/>
  <c r="D11" i="1" s="1"/>
  <c r="B20" i="1"/>
  <c r="B18" i="1"/>
  <c r="C20" i="1"/>
  <c r="B16" i="1"/>
  <c r="D20" i="1"/>
  <c r="E13" i="1"/>
  <c r="E21" i="1" s="1"/>
  <c r="C23" i="1"/>
  <c r="D15" i="1"/>
  <c r="C22" i="1"/>
  <c r="D14" i="1"/>
  <c r="F12" i="1"/>
  <c r="E20" i="1"/>
  <c r="D10" i="1"/>
  <c r="C18" i="1"/>
  <c r="C19" i="1" l="1"/>
  <c r="C24" i="1" s="1"/>
  <c r="C16" i="1"/>
  <c r="B24" i="1"/>
  <c r="F13" i="1"/>
  <c r="G13" i="1" s="1"/>
  <c r="D22" i="1"/>
  <c r="E14" i="1"/>
  <c r="E15" i="1"/>
  <c r="D23" i="1"/>
  <c r="E11" i="1"/>
  <c r="D19" i="1"/>
  <c r="D16" i="1"/>
  <c r="D18" i="1"/>
  <c r="E10" i="1"/>
  <c r="G12" i="1"/>
  <c r="F20" i="1"/>
  <c r="F21" i="1" l="1"/>
  <c r="D24" i="1"/>
  <c r="F11" i="1"/>
  <c r="E19" i="1"/>
  <c r="H13" i="1"/>
  <c r="G21" i="1"/>
  <c r="F14" i="1"/>
  <c r="E22" i="1"/>
  <c r="E23" i="1"/>
  <c r="F15" i="1"/>
  <c r="F10" i="1"/>
  <c r="E18" i="1"/>
  <c r="E16" i="1"/>
  <c r="H12" i="1"/>
  <c r="G20" i="1"/>
  <c r="F23" i="1" l="1"/>
  <c r="G15" i="1"/>
  <c r="H21" i="1"/>
  <c r="I13" i="1"/>
  <c r="E24" i="1"/>
  <c r="G14" i="1"/>
  <c r="F22" i="1"/>
  <c r="F19" i="1"/>
  <c r="G11" i="1"/>
  <c r="I12" i="1"/>
  <c r="H20" i="1"/>
  <c r="F16" i="1"/>
  <c r="G10" i="1"/>
  <c r="F18" i="1"/>
  <c r="J13" i="1" l="1"/>
  <c r="I21" i="1"/>
  <c r="F24" i="1"/>
  <c r="G22" i="1"/>
  <c r="H14" i="1"/>
  <c r="G23" i="1"/>
  <c r="H15" i="1"/>
  <c r="G19" i="1"/>
  <c r="H11" i="1"/>
  <c r="G18" i="1"/>
  <c r="G16" i="1"/>
  <c r="H10" i="1"/>
  <c r="J12" i="1"/>
  <c r="I20" i="1"/>
  <c r="H23" i="1" l="1"/>
  <c r="I15" i="1"/>
  <c r="G24" i="1"/>
  <c r="I11" i="1"/>
  <c r="H19" i="1"/>
  <c r="H22" i="1"/>
  <c r="I14" i="1"/>
  <c r="K13" i="1"/>
  <c r="K21" i="1" s="1"/>
  <c r="J21" i="1"/>
  <c r="J20" i="1"/>
  <c r="K12" i="1"/>
  <c r="K20" i="1" s="1"/>
  <c r="H18" i="1"/>
  <c r="H16" i="1"/>
  <c r="I10" i="1"/>
  <c r="H24" i="1" l="1"/>
  <c r="J11" i="1"/>
  <c r="I19" i="1"/>
  <c r="I22" i="1"/>
  <c r="J14" i="1"/>
  <c r="J15" i="1"/>
  <c r="I23" i="1"/>
  <c r="L13" i="1"/>
  <c r="L21" i="1" s="1"/>
  <c r="L12" i="1"/>
  <c r="L20" i="1" s="1"/>
  <c r="I16" i="1"/>
  <c r="I18" i="1"/>
  <c r="J10" i="1"/>
  <c r="I24" i="1" l="1"/>
  <c r="K14" i="1"/>
  <c r="K22" i="1" s="1"/>
  <c r="J22" i="1"/>
  <c r="M13" i="1"/>
  <c r="M21" i="1" s="1"/>
  <c r="J23" i="1"/>
  <c r="K15" i="1"/>
  <c r="K23" i="1" s="1"/>
  <c r="J19" i="1"/>
  <c r="K11" i="1"/>
  <c r="K19" i="1" s="1"/>
  <c r="J16" i="1"/>
  <c r="J18" i="1"/>
  <c r="K10" i="1"/>
  <c r="M12" i="1"/>
  <c r="M20" i="1" s="1"/>
  <c r="L11" i="1" l="1"/>
  <c r="L19" i="1" s="1"/>
  <c r="N13" i="1"/>
  <c r="N21" i="1" s="1"/>
  <c r="J24" i="1"/>
  <c r="L15" i="1"/>
  <c r="L23" i="1" s="1"/>
  <c r="L14" i="1"/>
  <c r="L22" i="1" s="1"/>
  <c r="L10" i="1"/>
  <c r="K16" i="1"/>
  <c r="K18" i="1"/>
  <c r="N12" i="1"/>
  <c r="N20" i="1" s="1"/>
  <c r="L18" i="1" l="1"/>
  <c r="M15" i="1"/>
  <c r="M23" i="1" s="1"/>
  <c r="O13" i="1"/>
  <c r="O21" i="1" s="1"/>
  <c r="K24" i="1"/>
  <c r="M14" i="1"/>
  <c r="M22" i="1" s="1"/>
  <c r="M11" i="1"/>
  <c r="M19" i="1" s="1"/>
  <c r="O12" i="1"/>
  <c r="O20" i="1" s="1"/>
  <c r="M10" i="1"/>
  <c r="M18" i="1" s="1"/>
  <c r="L16" i="1"/>
  <c r="L24" i="1" l="1"/>
  <c r="N11" i="1"/>
  <c r="N19" i="1" s="1"/>
  <c r="N14" i="1"/>
  <c r="N22" i="1" s="1"/>
  <c r="N15" i="1"/>
  <c r="N23" i="1" s="1"/>
  <c r="P13" i="1"/>
  <c r="P21" i="1" s="1"/>
  <c r="M16" i="1"/>
  <c r="N10" i="1"/>
  <c r="N18" i="1" s="1"/>
  <c r="P12" i="1"/>
  <c r="P20" i="1" s="1"/>
  <c r="Q13" i="1" l="1"/>
  <c r="Q21" i="1" s="1"/>
  <c r="O14" i="1"/>
  <c r="O22" i="1" s="1"/>
  <c r="O15" i="1"/>
  <c r="O23" i="1" s="1"/>
  <c r="M24" i="1"/>
  <c r="O11" i="1"/>
  <c r="O19" i="1" s="1"/>
  <c r="Q12" i="1"/>
  <c r="Q20" i="1" s="1"/>
  <c r="O10" i="1"/>
  <c r="O18" i="1" s="1"/>
  <c r="N16" i="1"/>
  <c r="N24" i="1" l="1"/>
  <c r="P11" i="1"/>
  <c r="P19" i="1" s="1"/>
  <c r="P14" i="1"/>
  <c r="P22" i="1" s="1"/>
  <c r="P15" i="1"/>
  <c r="P23" i="1" s="1"/>
  <c r="R13" i="1"/>
  <c r="R21" i="1" s="1"/>
  <c r="O16" i="1"/>
  <c r="P10" i="1"/>
  <c r="P18" i="1" s="1"/>
  <c r="R12" i="1"/>
  <c r="R20" i="1" s="1"/>
  <c r="O24" i="1" l="1"/>
  <c r="Q14" i="1"/>
  <c r="Q22" i="1" s="1"/>
  <c r="S13" i="1"/>
  <c r="S21" i="1" s="1"/>
  <c r="Q15" i="1"/>
  <c r="Q23" i="1" s="1"/>
  <c r="Q11" i="1"/>
  <c r="Q19" i="1" s="1"/>
  <c r="P16" i="1"/>
  <c r="Q10" i="1"/>
  <c r="Q18" i="1" s="1"/>
  <c r="S12" i="1"/>
  <c r="S20" i="1" s="1"/>
  <c r="T13" i="1" l="1"/>
  <c r="T21" i="1" s="1"/>
  <c r="R11" i="1"/>
  <c r="R19" i="1" s="1"/>
  <c r="R15" i="1"/>
  <c r="R23" i="1" s="1"/>
  <c r="R14" i="1"/>
  <c r="R22" i="1" s="1"/>
  <c r="P24" i="1"/>
  <c r="R10" i="1"/>
  <c r="R18" i="1" s="1"/>
  <c r="Q16" i="1"/>
  <c r="T12" i="1"/>
  <c r="T20" i="1" s="1"/>
  <c r="S11" i="1" l="1"/>
  <c r="S19" i="1" s="1"/>
  <c r="S14" i="1"/>
  <c r="S22" i="1" s="1"/>
  <c r="Q24" i="1"/>
  <c r="S15" i="1"/>
  <c r="S23" i="1" s="1"/>
  <c r="U13" i="1"/>
  <c r="U21" i="1" s="1"/>
  <c r="S10" i="1"/>
  <c r="S18" i="1" s="1"/>
  <c r="R16" i="1"/>
  <c r="U12" i="1"/>
  <c r="U20" i="1" s="1"/>
  <c r="R24" i="1" l="1"/>
  <c r="V13" i="1"/>
  <c r="V21" i="1" s="1"/>
  <c r="T14" i="1"/>
  <c r="T22" i="1" s="1"/>
  <c r="T15" i="1"/>
  <c r="T23" i="1" s="1"/>
  <c r="T11" i="1"/>
  <c r="T19" i="1" s="1"/>
  <c r="T10" i="1"/>
  <c r="T18" i="1" s="1"/>
  <c r="S16" i="1"/>
  <c r="V12" i="1"/>
  <c r="V20" i="1" s="1"/>
  <c r="U14" i="1" l="1"/>
  <c r="U22" i="1" s="1"/>
  <c r="U11" i="1"/>
  <c r="U19" i="1" s="1"/>
  <c r="S24" i="1"/>
  <c r="U15" i="1"/>
  <c r="U23" i="1" s="1"/>
  <c r="W13" i="1"/>
  <c r="W12" i="1"/>
  <c r="T16" i="1"/>
  <c r="U10" i="1"/>
  <c r="U18" i="1" s="1"/>
  <c r="X13" i="1" l="1"/>
  <c r="Y13" i="1" s="1"/>
  <c r="W21" i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DC21" i="1" s="1"/>
  <c r="DD21" i="1" s="1"/>
  <c r="DE21" i="1" s="1"/>
  <c r="DF21" i="1" s="1"/>
  <c r="DG21" i="1" s="1"/>
  <c r="DH21" i="1" s="1"/>
  <c r="DI21" i="1" s="1"/>
  <c r="DJ21" i="1" s="1"/>
  <c r="X12" i="1"/>
  <c r="Y12" i="1" s="1"/>
  <c r="W20" i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V15" i="1"/>
  <c r="V23" i="1" s="1"/>
  <c r="V11" i="1"/>
  <c r="V19" i="1" s="1"/>
  <c r="V14" i="1"/>
  <c r="V22" i="1" s="1"/>
  <c r="T24" i="1"/>
  <c r="U16" i="1"/>
  <c r="V10" i="1"/>
  <c r="V18" i="1" s="1"/>
  <c r="Z13" i="1" l="1"/>
  <c r="Z12" i="1"/>
  <c r="U24" i="1"/>
  <c r="W11" i="1"/>
  <c r="W14" i="1"/>
  <c r="W15" i="1"/>
  <c r="W10" i="1"/>
  <c r="V16" i="1"/>
  <c r="X14" i="1" l="1"/>
  <c r="Y14" i="1" s="1"/>
  <c r="W22" i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DH22" i="1" s="1"/>
  <c r="DI22" i="1" s="1"/>
  <c r="DJ22" i="1" s="1"/>
  <c r="X10" i="1"/>
  <c r="Y10" i="1" s="1"/>
  <c r="Z10" i="1" s="1"/>
  <c r="AA10" i="1" s="1"/>
  <c r="AB10" i="1" s="1"/>
  <c r="AC10" i="1" s="1"/>
  <c r="AD10" i="1" s="1"/>
  <c r="W18" i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X15" i="1"/>
  <c r="Y15" i="1" s="1"/>
  <c r="Z15" i="1" s="1"/>
  <c r="W23" i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CY23" i="1" s="1"/>
  <c r="CZ23" i="1" s="1"/>
  <c r="DA23" i="1" s="1"/>
  <c r="DB23" i="1" s="1"/>
  <c r="DC23" i="1" s="1"/>
  <c r="DD23" i="1" s="1"/>
  <c r="DE23" i="1" s="1"/>
  <c r="DF23" i="1" s="1"/>
  <c r="DG23" i="1" s="1"/>
  <c r="DH23" i="1" s="1"/>
  <c r="DI23" i="1" s="1"/>
  <c r="DJ23" i="1" s="1"/>
  <c r="X11" i="1"/>
  <c r="Y11" i="1" s="1"/>
  <c r="W19" i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AA13" i="1"/>
  <c r="AA12" i="1"/>
  <c r="V24" i="1"/>
  <c r="W16" i="1"/>
  <c r="BJ24" i="1" l="1"/>
  <c r="BK19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E10" i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AB13" i="1"/>
  <c r="AB12" i="1"/>
  <c r="AA15" i="1"/>
  <c r="Z14" i="1"/>
  <c r="Z11" i="1"/>
  <c r="Y16" i="1"/>
  <c r="X16" i="1"/>
  <c r="W24" i="1"/>
  <c r="X24" i="1"/>
  <c r="BK24" i="1" l="1"/>
  <c r="BL19" i="1"/>
  <c r="AC13" i="1"/>
  <c r="AC12" i="1"/>
  <c r="AB15" i="1"/>
  <c r="AA14" i="1"/>
  <c r="AA11" i="1"/>
  <c r="AB11" i="1" s="1"/>
  <c r="AC11" i="1" s="1"/>
  <c r="AD11" i="1" s="1"/>
  <c r="Y24" i="1"/>
  <c r="Z16" i="1"/>
  <c r="BL24" i="1" l="1"/>
  <c r="BM19" i="1"/>
  <c r="AE11" i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AF11" i="1"/>
  <c r="AD13" i="1"/>
  <c r="AF13" i="1" s="1"/>
  <c r="AH13" i="1" s="1"/>
  <c r="AD12" i="1"/>
  <c r="AF12" i="1" s="1"/>
  <c r="AH12" i="1" s="1"/>
  <c r="AC15" i="1"/>
  <c r="Z24" i="1"/>
  <c r="AB14" i="1"/>
  <c r="AA16" i="1"/>
  <c r="BM24" i="1" l="1"/>
  <c r="BN19" i="1"/>
  <c r="AJ12" i="1"/>
  <c r="AJ13" i="1"/>
  <c r="AE12" i="1"/>
  <c r="AE13" i="1"/>
  <c r="AD15" i="1"/>
  <c r="AF15" i="1" s="1"/>
  <c r="AH15" i="1" s="1"/>
  <c r="AB24" i="1"/>
  <c r="AC14" i="1"/>
  <c r="AA24" i="1"/>
  <c r="AB16" i="1"/>
  <c r="BN24" i="1" l="1"/>
  <c r="BO19" i="1"/>
  <c r="AL13" i="1"/>
  <c r="AL12" i="1"/>
  <c r="AN12" i="1" s="1"/>
  <c r="AP12" i="1" s="1"/>
  <c r="AR12" i="1" s="1"/>
  <c r="AT12" i="1" s="1"/>
  <c r="AU12" i="1" s="1"/>
  <c r="AV12" i="1" s="1"/>
  <c r="AW12" i="1" s="1"/>
  <c r="AX12" i="1" s="1"/>
  <c r="AY12" i="1" s="1"/>
  <c r="AJ15" i="1"/>
  <c r="AG12" i="1"/>
  <c r="AI12" i="1" s="1"/>
  <c r="AK12" i="1" s="1"/>
  <c r="AM12" i="1" s="1"/>
  <c r="AO12" i="1" s="1"/>
  <c r="AQ12" i="1" s="1"/>
  <c r="AS12" i="1" s="1"/>
  <c r="AG13" i="1"/>
  <c r="AE15" i="1"/>
  <c r="AC16" i="1"/>
  <c r="AD14" i="1"/>
  <c r="AC24" i="1"/>
  <c r="BO24" i="1" l="1"/>
  <c r="BP19" i="1"/>
  <c r="AZ12" i="1"/>
  <c r="AN13" i="1"/>
  <c r="AL15" i="1"/>
  <c r="AI13" i="1"/>
  <c r="AK13" i="1" s="1"/>
  <c r="AE14" i="1"/>
  <c r="AG14" i="1" s="1"/>
  <c r="AF14" i="1"/>
  <c r="AH14" i="1" s="1"/>
  <c r="AJ14" i="1" s="1"/>
  <c r="AL14" i="1" s="1"/>
  <c r="AG15" i="1"/>
  <c r="AD24" i="1"/>
  <c r="AD16" i="1"/>
  <c r="BP24" i="1" l="1"/>
  <c r="BQ19" i="1"/>
  <c r="BA12" i="1"/>
  <c r="AP13" i="1"/>
  <c r="AR13" i="1" s="1"/>
  <c r="AT13" i="1" s="1"/>
  <c r="AU13" i="1" s="1"/>
  <c r="AV13" i="1" s="1"/>
  <c r="AW13" i="1" s="1"/>
  <c r="AX13" i="1" s="1"/>
  <c r="AY13" i="1" s="1"/>
  <c r="AN14" i="1"/>
  <c r="AP14" i="1" s="1"/>
  <c r="AR14" i="1" s="1"/>
  <c r="AN15" i="1"/>
  <c r="AM13" i="1"/>
  <c r="AO13" i="1" s="1"/>
  <c r="AQ13" i="1" s="1"/>
  <c r="AS13" i="1" s="1"/>
  <c r="AL16" i="1"/>
  <c r="AJ24" i="1"/>
  <c r="AJ16" i="1"/>
  <c r="AH24" i="1"/>
  <c r="AH16" i="1"/>
  <c r="AI15" i="1"/>
  <c r="AK15" i="1" s="1"/>
  <c r="AI14" i="1"/>
  <c r="AK14" i="1" s="1"/>
  <c r="AE24" i="1"/>
  <c r="AE16" i="1"/>
  <c r="AF24" i="1"/>
  <c r="AF16" i="1"/>
  <c r="AG16" i="1"/>
  <c r="BQ24" i="1" l="1"/>
  <c r="BR19" i="1"/>
  <c r="AZ13" i="1"/>
  <c r="BB12" i="1"/>
  <c r="AT14" i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AP15" i="1"/>
  <c r="AR15" i="1" s="1"/>
  <c r="AL24" i="1"/>
  <c r="AN16" i="1"/>
  <c r="AM15" i="1"/>
  <c r="AM14" i="1"/>
  <c r="AK16" i="1"/>
  <c r="AG24" i="1"/>
  <c r="AI16" i="1"/>
  <c r="BR24" i="1" l="1"/>
  <c r="BS19" i="1"/>
  <c r="BC12" i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BA13" i="1"/>
  <c r="AR24" i="1"/>
  <c r="AT15" i="1"/>
  <c r="AT16" i="1" s="1"/>
  <c r="AN24" i="1"/>
  <c r="AR16" i="1"/>
  <c r="AP24" i="1"/>
  <c r="AP16" i="1"/>
  <c r="AK24" i="1"/>
  <c r="AO15" i="1"/>
  <c r="AO14" i="1"/>
  <c r="AQ14" i="1" s="1"/>
  <c r="AS14" i="1" s="1"/>
  <c r="AM16" i="1"/>
  <c r="AI24" i="1"/>
  <c r="BS24" i="1" l="1"/>
  <c r="BT19" i="1"/>
  <c r="BB13" i="1"/>
  <c r="AT24" i="1"/>
  <c r="AU15" i="1"/>
  <c r="AV15" i="1" s="1"/>
  <c r="AW15" i="1" s="1"/>
  <c r="AQ15" i="1"/>
  <c r="AM24" i="1"/>
  <c r="AO16" i="1"/>
  <c r="BT24" i="1" l="1"/>
  <c r="BU19" i="1"/>
  <c r="BC13" i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AW16" i="1"/>
  <c r="AX15" i="1"/>
  <c r="AU16" i="1"/>
  <c r="AV16" i="1"/>
  <c r="AO24" i="1"/>
  <c r="AQ24" i="1"/>
  <c r="AS15" i="1"/>
  <c r="AQ16" i="1"/>
  <c r="BU24" i="1" l="1"/>
  <c r="BV19" i="1"/>
  <c r="AX16" i="1"/>
  <c r="AY15" i="1"/>
  <c r="AS24" i="1"/>
  <c r="AS16" i="1"/>
  <c r="BV24" i="1" l="1"/>
  <c r="BW19" i="1"/>
  <c r="AZ15" i="1"/>
  <c r="AY16" i="1"/>
  <c r="BW24" i="1" l="1"/>
  <c r="BX19" i="1"/>
  <c r="BA15" i="1"/>
  <c r="AZ16" i="1"/>
  <c r="BX24" i="1" l="1"/>
  <c r="BY19" i="1"/>
  <c r="BB15" i="1"/>
  <c r="BA16" i="1"/>
  <c r="BY24" i="1" l="1"/>
  <c r="BZ19" i="1"/>
  <c r="BC15" i="1"/>
  <c r="BB16" i="1"/>
  <c r="BZ24" i="1" l="1"/>
  <c r="CA19" i="1"/>
  <c r="BC16" i="1"/>
  <c r="BD15" i="1"/>
  <c r="CA24" i="1" l="1"/>
  <c r="CB19" i="1"/>
  <c r="BD16" i="1"/>
  <c r="BE15" i="1"/>
  <c r="CB24" i="1" l="1"/>
  <c r="CC19" i="1"/>
  <c r="BE16" i="1"/>
  <c r="BF15" i="1"/>
  <c r="CC24" i="1" l="1"/>
  <c r="CD19" i="1"/>
  <c r="BF16" i="1"/>
  <c r="BG15" i="1"/>
  <c r="CD24" i="1" l="1"/>
  <c r="CE19" i="1"/>
  <c r="BG16" i="1"/>
  <c r="BH15" i="1"/>
  <c r="CE24" i="1" l="1"/>
  <c r="CF19" i="1"/>
  <c r="BH16" i="1"/>
  <c r="BI15" i="1"/>
  <c r="CF24" i="1" l="1"/>
  <c r="CG19" i="1"/>
  <c r="BI16" i="1"/>
  <c r="BJ15" i="1"/>
  <c r="CG24" i="1" l="1"/>
  <c r="CH19" i="1"/>
  <c r="BJ16" i="1"/>
  <c r="BK15" i="1"/>
  <c r="CH24" i="1" l="1"/>
  <c r="CI19" i="1"/>
  <c r="BK16" i="1"/>
  <c r="BL15" i="1"/>
  <c r="CI24" i="1" l="1"/>
  <c r="CJ19" i="1"/>
  <c r="BL16" i="1"/>
  <c r="BM15" i="1"/>
  <c r="CJ24" i="1" l="1"/>
  <c r="CK19" i="1"/>
  <c r="BM16" i="1"/>
  <c r="BN15" i="1"/>
  <c r="CK24" i="1" l="1"/>
  <c r="CL19" i="1"/>
  <c r="BN16" i="1"/>
  <c r="BO15" i="1"/>
  <c r="CL24" i="1" l="1"/>
  <c r="CM19" i="1"/>
  <c r="BO16" i="1"/>
  <c r="BP15" i="1"/>
  <c r="CM24" i="1" l="1"/>
  <c r="CN19" i="1"/>
  <c r="BP16" i="1"/>
  <c r="BQ15" i="1"/>
  <c r="CN24" i="1" l="1"/>
  <c r="CO19" i="1"/>
  <c r="BQ16" i="1"/>
  <c r="BR15" i="1"/>
  <c r="CO24" i="1" l="1"/>
  <c r="CP19" i="1"/>
  <c r="BR16" i="1"/>
  <c r="BS15" i="1"/>
  <c r="CP24" i="1" l="1"/>
  <c r="CQ19" i="1"/>
  <c r="BS16" i="1"/>
  <c r="BT15" i="1"/>
  <c r="CQ24" i="1" l="1"/>
  <c r="CR19" i="1"/>
  <c r="BT16" i="1"/>
  <c r="BU15" i="1"/>
  <c r="CR24" i="1" l="1"/>
  <c r="CS19" i="1"/>
  <c r="BU16" i="1"/>
  <c r="BV15" i="1"/>
  <c r="CS24" i="1" l="1"/>
  <c r="CT19" i="1"/>
  <c r="BV16" i="1"/>
  <c r="BW15" i="1"/>
  <c r="CT24" i="1" l="1"/>
  <c r="CU19" i="1"/>
  <c r="BW16" i="1"/>
  <c r="BX15" i="1"/>
  <c r="CU24" i="1" l="1"/>
  <c r="CV19" i="1"/>
  <c r="BX16" i="1"/>
  <c r="BY15" i="1"/>
  <c r="CV24" i="1" l="1"/>
  <c r="CW19" i="1"/>
  <c r="BY16" i="1"/>
  <c r="BZ15" i="1"/>
  <c r="CW24" i="1" l="1"/>
  <c r="CX19" i="1"/>
  <c r="BZ16" i="1"/>
  <c r="CA15" i="1"/>
  <c r="CX24" i="1" l="1"/>
  <c r="CY19" i="1"/>
  <c r="CA16" i="1"/>
  <c r="CB15" i="1"/>
  <c r="CY24" i="1" l="1"/>
  <c r="CZ19" i="1"/>
  <c r="CB16" i="1"/>
  <c r="CC15" i="1"/>
  <c r="CZ24" i="1" l="1"/>
  <c r="DA19" i="1"/>
  <c r="CC16" i="1"/>
  <c r="CD15" i="1"/>
  <c r="DA24" i="1" l="1"/>
  <c r="DB19" i="1"/>
  <c r="CD16" i="1"/>
  <c r="CE15" i="1"/>
  <c r="DB24" i="1" l="1"/>
  <c r="DC19" i="1"/>
  <c r="CE16" i="1"/>
  <c r="CF15" i="1"/>
  <c r="DC24" i="1" l="1"/>
  <c r="DD19" i="1"/>
  <c r="CF16" i="1"/>
  <c r="CG15" i="1"/>
  <c r="DD24" i="1" l="1"/>
  <c r="DE19" i="1"/>
  <c r="CG16" i="1"/>
  <c r="CH15" i="1"/>
  <c r="DE24" i="1" l="1"/>
  <c r="DF19" i="1"/>
  <c r="CH16" i="1"/>
  <c r="CI15" i="1"/>
  <c r="DF24" i="1" l="1"/>
  <c r="DG19" i="1"/>
  <c r="CI16" i="1"/>
  <c r="CJ15" i="1"/>
  <c r="DG24" i="1" l="1"/>
  <c r="DH19" i="1"/>
  <c r="CJ16" i="1"/>
  <c r="CK15" i="1"/>
  <c r="DH24" i="1" l="1"/>
  <c r="DI19" i="1"/>
  <c r="CK16" i="1"/>
  <c r="CL15" i="1"/>
  <c r="DI24" i="1" l="1"/>
  <c r="DJ19" i="1"/>
  <c r="DJ24" i="1" s="1"/>
  <c r="CL16" i="1"/>
  <c r="CM15" i="1"/>
  <c r="CM16" i="1" l="1"/>
  <c r="CN15" i="1"/>
  <c r="CN16" i="1" l="1"/>
  <c r="CO15" i="1"/>
  <c r="CO16" i="1" l="1"/>
  <c r="CP15" i="1"/>
  <c r="CP16" i="1" l="1"/>
  <c r="CQ15" i="1"/>
  <c r="CQ16" i="1" l="1"/>
  <c r="CR15" i="1"/>
  <c r="CR16" i="1" l="1"/>
  <c r="CS15" i="1"/>
  <c r="CS16" i="1" l="1"/>
  <c r="CT15" i="1"/>
  <c r="CT16" i="1" l="1"/>
  <c r="CU15" i="1"/>
  <c r="CU16" i="1" l="1"/>
  <c r="CV15" i="1"/>
  <c r="CV16" i="1" l="1"/>
  <c r="CW15" i="1"/>
  <c r="CW16" i="1" l="1"/>
  <c r="CX15" i="1"/>
  <c r="CX16" i="1" l="1"/>
  <c r="CY15" i="1"/>
  <c r="CY16" i="1" l="1"/>
  <c r="CZ15" i="1"/>
  <c r="CZ16" i="1" l="1"/>
  <c r="DA15" i="1"/>
  <c r="DA16" i="1" l="1"/>
  <c r="DB15" i="1"/>
  <c r="DB16" i="1" l="1"/>
  <c r="DC15" i="1"/>
  <c r="DC16" i="1" l="1"/>
  <c r="DD15" i="1"/>
  <c r="DD16" i="1" l="1"/>
  <c r="DE15" i="1"/>
  <c r="DE16" i="1" l="1"/>
  <c r="DF15" i="1"/>
  <c r="DF16" i="1" l="1"/>
  <c r="DG15" i="1"/>
  <c r="DG16" i="1" l="1"/>
  <c r="DH15" i="1"/>
  <c r="DH16" i="1" l="1"/>
  <c r="DI15" i="1"/>
  <c r="DI16" i="1" l="1"/>
  <c r="DJ15" i="1"/>
  <c r="DJ16" i="1" s="1"/>
</calcChain>
</file>

<file path=xl/sharedStrings.xml><?xml version="1.0" encoding="utf-8"?>
<sst xmlns="http://schemas.openxmlformats.org/spreadsheetml/2006/main" count="49" uniqueCount="30">
  <si>
    <t>Resolution (NRE)</t>
  </si>
  <si>
    <t>Total</t>
  </si>
  <si>
    <t>Cost Avoidance (2016 values)</t>
  </si>
  <si>
    <t>Cost Avoidance (2017 values)</t>
  </si>
  <si>
    <t>Source</t>
  </si>
  <si>
    <t>Existing Stock</t>
  </si>
  <si>
    <t>Reclamation</t>
  </si>
  <si>
    <t>Alternate</t>
  </si>
  <si>
    <t>Substitution</t>
  </si>
  <si>
    <t>After Market</t>
  </si>
  <si>
    <t>Part supplied from any manufacturer other than the OEM or past manufacturers listed (New manufacturer identified)</t>
  </si>
  <si>
    <t>Emulation</t>
  </si>
  <si>
    <t>Provided solutions for obsolete microcircuits only (Eliminates CCA Redesign - New source identified other OEM or than past manufacturers)</t>
  </si>
  <si>
    <t>Volume of Work</t>
  </si>
  <si>
    <t>Cumulative</t>
  </si>
  <si>
    <t>Cost Avoidance ($) Cumulative</t>
  </si>
  <si>
    <t>Cost Avoidance ($)</t>
  </si>
  <si>
    <t>Volume of Cost Avoidance</t>
  </si>
  <si>
    <t>Approved Item - DLA or AF Stock on Hand</t>
  </si>
  <si>
    <t>Life Of Need Buy - Vendor (Found through ILSmart, Google, or other excess stock vendors)</t>
  </si>
  <si>
    <t>Simple Substitute - Workable part that is a suitable replacement for another part/NSN in any assembly with identical form, fit, and function (Multiple part numbers for the same NSN)</t>
  </si>
  <si>
    <t>Complex Substitute - A part that is a suitable replacement for another part in only one assembly (Manufacturer new part number)</t>
  </si>
  <si>
    <t>Resolution Costs Values (2018 Values) AVCOM - STAR</t>
  </si>
  <si>
    <t>Resolution Costs Values (2019 Values) AVCOM - STAR</t>
  </si>
  <si>
    <t>Resolution Costs Values (2020 Values) AVCOM - STAR</t>
  </si>
  <si>
    <t>Resolution Costs Values (2021 Values) SD-22/AVCOM - STAR</t>
  </si>
  <si>
    <t>Resolution Costs Values (2022 Values) SD-22/AVCOM - STAR</t>
  </si>
  <si>
    <t>Resolution Costs Values (2023 Values) SD-22/AVCOM - STAR</t>
  </si>
  <si>
    <t>Resolution Costs Values (2024 Values) SD-22/AVCOM - STAR (SD-22 Page 148 6.3.4.1 Table 15</t>
  </si>
  <si>
    <t>Resolution Costs Values (2025 Values) SD-22/AVCOM - STAR (SD-22 Page 148 6.3.4.1 Table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</si>
</sst>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;@"/>
    <numFmt numFmtId="165" formatCode="&quot;$&quot;#,##0.00"/>
    <numFmt numFmtId="166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7" xfId="0" applyNumberFormat="1" applyBorder="1"/>
    <xf numFmtId="0" fontId="0" fillId="0" borderId="8" xfId="0" applyBorder="1"/>
    <xf numFmtId="165" fontId="1" fillId="0" borderId="0" xfId="0" applyNumberFormat="1" applyFont="1" applyAlignment="1">
      <alignment vertical="top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164" fontId="1" fillId="2" borderId="2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164" fontId="1" fillId="2" borderId="0" xfId="0" applyNumberFormat="1" applyFont="1" applyFill="1" applyAlignment="1">
      <alignment horizontal="center" vertical="top" wrapText="1"/>
    </xf>
    <xf numFmtId="165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6" xfId="0" applyFont="1" applyFill="1" applyBorder="1" applyAlignment="1">
      <alignment horizontal="center" vertical="top" wrapText="1"/>
    </xf>
    <xf numFmtId="166" fontId="1" fillId="2" borderId="7" xfId="0" applyNumberFormat="1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165" fontId="1" fillId="2" borderId="0" xfId="0" applyNumberFormat="1" applyFont="1" applyFill="1" applyAlignment="1">
      <alignment horizontal="center" vertical="top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Cost Avoidance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131593013305268E-2"/>
          <c:y val="7.1258360973857349E-2"/>
          <c:w val="0.86860175241886417"/>
          <c:h val="0.840224042599862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Metrics!$A$2</c:f>
              <c:strCache>
                <c:ptCount val="1"/>
                <c:pt idx="0">
                  <c:v>Existing 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Metrics!$Q$1:$AB$1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Metrics!$Q$2:$AB$2</c:f>
              <c:numCache>
                <c:formatCode>General</c:formatCode>
                <c:ptCount val="12"/>
                <c:pt idx="0">
                  <c:v>69</c:v>
                </c:pt>
                <c:pt idx="1">
                  <c:v>45</c:v>
                </c:pt>
                <c:pt idx="2">
                  <c:v>190</c:v>
                </c:pt>
                <c:pt idx="3">
                  <c:v>232</c:v>
                </c:pt>
                <c:pt idx="4">
                  <c:v>213</c:v>
                </c:pt>
                <c:pt idx="5">
                  <c:v>221</c:v>
                </c:pt>
                <c:pt idx="6">
                  <c:v>168</c:v>
                </c:pt>
                <c:pt idx="7">
                  <c:v>44</c:v>
                </c:pt>
                <c:pt idx="8">
                  <c:v>269</c:v>
                </c:pt>
                <c:pt idx="9">
                  <c:v>394</c:v>
                </c:pt>
                <c:pt idx="10">
                  <c:v>394</c:v>
                </c:pt>
                <c:pt idx="11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2-493B-9FCD-222E8A71CFF1}"/>
            </c:ext>
          </c:extLst>
        </c:ser>
        <c:ser>
          <c:idx val="1"/>
          <c:order val="1"/>
          <c:tx>
            <c:strRef>
              <c:f>Metrics!$A$3</c:f>
              <c:strCache>
                <c:ptCount val="1"/>
                <c:pt idx="0">
                  <c:v>Reclamation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Metrics!$Q$1:$AB$1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Metrics!$Q$3:$AB$3</c:f>
              <c:numCache>
                <c:formatCode>General</c:formatCode>
                <c:ptCount val="12"/>
                <c:pt idx="0">
                  <c:v>27</c:v>
                </c:pt>
                <c:pt idx="1">
                  <c:v>73</c:v>
                </c:pt>
                <c:pt idx="2">
                  <c:v>414</c:v>
                </c:pt>
                <c:pt idx="3">
                  <c:v>602</c:v>
                </c:pt>
                <c:pt idx="4">
                  <c:v>453</c:v>
                </c:pt>
                <c:pt idx="5">
                  <c:v>164</c:v>
                </c:pt>
                <c:pt idx="6">
                  <c:v>150</c:v>
                </c:pt>
                <c:pt idx="7">
                  <c:v>168</c:v>
                </c:pt>
                <c:pt idx="8">
                  <c:v>258</c:v>
                </c:pt>
                <c:pt idx="9">
                  <c:v>686</c:v>
                </c:pt>
                <c:pt idx="10">
                  <c:v>686</c:v>
                </c:pt>
                <c:pt idx="1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2-493B-9FCD-222E8A71CFF1}"/>
            </c:ext>
          </c:extLst>
        </c:ser>
        <c:ser>
          <c:idx val="2"/>
          <c:order val="2"/>
          <c:tx>
            <c:strRef>
              <c:f>Metrics!$A$4</c:f>
              <c:strCache>
                <c:ptCount val="1"/>
                <c:pt idx="0">
                  <c:v>Alternate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Metrics!$Q$1:$AB$1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Metrics!$Q$4:$AB$4</c:f>
              <c:numCache>
                <c:formatCode>General</c:formatCode>
                <c:ptCount val="12"/>
                <c:pt idx="0">
                  <c:v>13</c:v>
                </c:pt>
                <c:pt idx="1">
                  <c:v>31</c:v>
                </c:pt>
                <c:pt idx="2">
                  <c:v>9</c:v>
                </c:pt>
                <c:pt idx="3">
                  <c:v>50</c:v>
                </c:pt>
                <c:pt idx="4">
                  <c:v>11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D2-493B-9FCD-222E8A71CFF1}"/>
            </c:ext>
          </c:extLst>
        </c:ser>
        <c:ser>
          <c:idx val="3"/>
          <c:order val="3"/>
          <c:tx>
            <c:strRef>
              <c:f>Metrics!$A$5</c:f>
              <c:strCache>
                <c:ptCount val="1"/>
                <c:pt idx="0">
                  <c:v>Substitution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Metrics!$Q$1:$AB$1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Metrics!$Q$5:$AB$5</c:f>
              <c:numCache>
                <c:formatCode>General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12</c:v>
                </c:pt>
                <c:pt idx="3">
                  <c:v>35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D2-493B-9FCD-222E8A71CFF1}"/>
            </c:ext>
          </c:extLst>
        </c:ser>
        <c:ser>
          <c:idx val="4"/>
          <c:order val="4"/>
          <c:tx>
            <c:strRef>
              <c:f>Metrics!$A$6</c:f>
              <c:strCache>
                <c:ptCount val="1"/>
                <c:pt idx="0">
                  <c:v>After Market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Metrics!$Q$1:$AB$1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Metrics!$Q$6:$AB$6</c:f>
              <c:numCache>
                <c:formatCode>General</c:formatCode>
                <c:ptCount val="12"/>
                <c:pt idx="0">
                  <c:v>33</c:v>
                </c:pt>
                <c:pt idx="1">
                  <c:v>38</c:v>
                </c:pt>
                <c:pt idx="2">
                  <c:v>60</c:v>
                </c:pt>
                <c:pt idx="3">
                  <c:v>62</c:v>
                </c:pt>
                <c:pt idx="4">
                  <c:v>7</c:v>
                </c:pt>
                <c:pt idx="5">
                  <c:v>0</c:v>
                </c:pt>
                <c:pt idx="6">
                  <c:v>138</c:v>
                </c:pt>
                <c:pt idx="7">
                  <c:v>4</c:v>
                </c:pt>
                <c:pt idx="8">
                  <c:v>1</c:v>
                </c:pt>
                <c:pt idx="9">
                  <c:v>38</c:v>
                </c:pt>
                <c:pt idx="10">
                  <c:v>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D2-493B-9FCD-222E8A71CFF1}"/>
            </c:ext>
          </c:extLst>
        </c:ser>
        <c:ser>
          <c:idx val="5"/>
          <c:order val="5"/>
          <c:tx>
            <c:strRef>
              <c:f>Metrics!$A$7</c:f>
              <c:strCache>
                <c:ptCount val="1"/>
                <c:pt idx="0">
                  <c:v>Emulation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Metrics!$Q$1:$AB$1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Metrics!$Q$7:$AB$7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FD2-493B-9FCD-222E8A71C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0067472"/>
        <c:axId val="450067800"/>
      </c:barChart>
      <c:lineChart>
        <c:grouping val="standard"/>
        <c:varyColors val="0"/>
        <c:ser>
          <c:idx val="6"/>
          <c:order val="6"/>
          <c:tx>
            <c:strRef>
              <c:f>Metrics!$A$8</c:f>
              <c:strCache>
                <c:ptCount val="1"/>
                <c:pt idx="0">
                  <c:v>Volume of Work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5876095750741673E-2"/>
                  <c:y val="-4.705575347750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08D-4513-8DE4-1C47AFEA0951}"/>
                </c:ext>
              </c:extLst>
            </c:dLbl>
            <c:dLbl>
              <c:idx val="1"/>
              <c:layout>
                <c:manualLayout>
                  <c:x val="-2.3120728753035676E-2"/>
                  <c:y val="-4.705575347750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5B-4F69-B3FA-A4405508E0ED}"/>
                </c:ext>
              </c:extLst>
            </c:dLbl>
            <c:dLbl>
              <c:idx val="2"/>
              <c:layout>
                <c:manualLayout>
                  <c:x val="-1.587609575074175E-2"/>
                  <c:y val="-4.3213294303629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EC-4AFD-9A1F-6773B1663826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Metrics!$Q$1:$AB$1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Metrics!$Q$8:$AB$8</c:f>
              <c:numCache>
                <c:formatCode>General</c:formatCode>
                <c:ptCount val="12"/>
                <c:pt idx="0">
                  <c:v>149</c:v>
                </c:pt>
                <c:pt idx="1">
                  <c:v>190</c:v>
                </c:pt>
                <c:pt idx="2">
                  <c:v>685</c:v>
                </c:pt>
                <c:pt idx="3">
                  <c:v>981</c:v>
                </c:pt>
                <c:pt idx="4">
                  <c:v>685</c:v>
                </c:pt>
                <c:pt idx="5">
                  <c:v>389</c:v>
                </c:pt>
                <c:pt idx="6">
                  <c:v>457</c:v>
                </c:pt>
                <c:pt idx="7">
                  <c:v>219</c:v>
                </c:pt>
                <c:pt idx="8">
                  <c:v>533</c:v>
                </c:pt>
                <c:pt idx="9">
                  <c:v>1129</c:v>
                </c:pt>
                <c:pt idx="10">
                  <c:v>1129</c:v>
                </c:pt>
                <c:pt idx="11">
                  <c:v>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D2-493B-9FCD-222E8A71C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067472"/>
        <c:axId val="450067800"/>
      </c:lineChart>
      <c:dateAx>
        <c:axId val="45006747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67800"/>
        <c:crosses val="autoZero"/>
        <c:auto val="1"/>
        <c:lblOffset val="100"/>
        <c:baseTimeUnit val="months"/>
      </c:dateAx>
      <c:valAx>
        <c:axId val="450067800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67472"/>
        <c:crosses val="autoZero"/>
        <c:crossBetween val="between"/>
        <c:minorUnit val="100"/>
      </c:valAx>
      <c:spPr>
        <a:noFill/>
        <a:ln>
          <a:noFill/>
        </a:ln>
        <a:effectLst/>
      </c:spPr>
    </c:plotArea>
    <c:legend>
      <c:legendPos val="tr"/>
      <c:overlay val="0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Cost Avoidance Metrics (cont)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627394403375254E-2"/>
          <c:y val="0.12444798908225634"/>
          <c:w val="0.88846054395765806"/>
          <c:h val="0.841366932137774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Metrics!$A$26</c:f>
              <c:strCache>
                <c:ptCount val="1"/>
                <c:pt idx="0">
                  <c:v>Existing 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Metrics!$Q$25:$AB$25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Metrics!$Q$26:$AB$26</c:f>
              <c:numCache>
                <c:formatCode>"$"#,##0</c:formatCode>
                <c:ptCount val="12"/>
                <c:pt idx="0">
                  <c:v>186300</c:v>
                </c:pt>
                <c:pt idx="1">
                  <c:v>121500</c:v>
                </c:pt>
                <c:pt idx="2">
                  <c:v>513000</c:v>
                </c:pt>
                <c:pt idx="3">
                  <c:v>626400</c:v>
                </c:pt>
                <c:pt idx="4">
                  <c:v>575100</c:v>
                </c:pt>
                <c:pt idx="5">
                  <c:v>596700</c:v>
                </c:pt>
                <c:pt idx="6">
                  <c:v>453600</c:v>
                </c:pt>
                <c:pt idx="7">
                  <c:v>47828</c:v>
                </c:pt>
                <c:pt idx="8">
                  <c:v>292403</c:v>
                </c:pt>
                <c:pt idx="9">
                  <c:v>428278</c:v>
                </c:pt>
                <c:pt idx="10">
                  <c:v>428278</c:v>
                </c:pt>
                <c:pt idx="11">
                  <c:v>348927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7-4295-8DEC-7C23903C554B}"/>
            </c:ext>
          </c:extLst>
        </c:ser>
        <c:ser>
          <c:idx val="1"/>
          <c:order val="1"/>
          <c:tx>
            <c:strRef>
              <c:f>Metrics!$A$27</c:f>
              <c:strCache>
                <c:ptCount val="1"/>
                <c:pt idx="0">
                  <c:v>Reclamation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Metrics!$Q$25:$AB$25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Metrics!$Q$27:$AB$27</c:f>
              <c:numCache>
                <c:formatCode>"$"#,##0</c:formatCode>
                <c:ptCount val="12"/>
                <c:pt idx="0">
                  <c:v>170100</c:v>
                </c:pt>
                <c:pt idx="1">
                  <c:v>459900</c:v>
                </c:pt>
                <c:pt idx="2">
                  <c:v>2608200</c:v>
                </c:pt>
                <c:pt idx="3">
                  <c:v>3792600</c:v>
                </c:pt>
                <c:pt idx="4">
                  <c:v>2853900</c:v>
                </c:pt>
                <c:pt idx="5">
                  <c:v>1033200</c:v>
                </c:pt>
                <c:pt idx="6">
                  <c:v>945000</c:v>
                </c:pt>
                <c:pt idx="7">
                  <c:v>929376</c:v>
                </c:pt>
                <c:pt idx="8">
                  <c:v>1427256</c:v>
                </c:pt>
                <c:pt idx="9">
                  <c:v>3794952</c:v>
                </c:pt>
                <c:pt idx="10">
                  <c:v>3794952</c:v>
                </c:pt>
                <c:pt idx="11">
                  <c:v>663840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27-4295-8DEC-7C23903C554B}"/>
            </c:ext>
          </c:extLst>
        </c:ser>
        <c:ser>
          <c:idx val="2"/>
          <c:order val="2"/>
          <c:tx>
            <c:strRef>
              <c:f>Metrics!$A$28</c:f>
              <c:strCache>
                <c:ptCount val="1"/>
                <c:pt idx="0">
                  <c:v>Alternate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Metrics!$Q$25:$AB$25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Metrics!$Q$28:$AB$28</c:f>
              <c:numCache>
                <c:formatCode>"$"#,##0</c:formatCode>
                <c:ptCount val="12"/>
                <c:pt idx="0">
                  <c:v>214500</c:v>
                </c:pt>
                <c:pt idx="1">
                  <c:v>511500</c:v>
                </c:pt>
                <c:pt idx="2">
                  <c:v>148500</c:v>
                </c:pt>
                <c:pt idx="3">
                  <c:v>825000</c:v>
                </c:pt>
                <c:pt idx="4">
                  <c:v>181500</c:v>
                </c:pt>
                <c:pt idx="5">
                  <c:v>16500</c:v>
                </c:pt>
                <c:pt idx="6">
                  <c:v>16500</c:v>
                </c:pt>
                <c:pt idx="7">
                  <c:v>39888</c:v>
                </c:pt>
                <c:pt idx="8">
                  <c:v>53184</c:v>
                </c:pt>
                <c:pt idx="9">
                  <c:v>93072</c:v>
                </c:pt>
                <c:pt idx="10">
                  <c:v>93072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27-4295-8DEC-7C23903C554B}"/>
            </c:ext>
          </c:extLst>
        </c:ser>
        <c:ser>
          <c:idx val="3"/>
          <c:order val="3"/>
          <c:tx>
            <c:strRef>
              <c:f>Metrics!$A$29</c:f>
              <c:strCache>
                <c:ptCount val="1"/>
                <c:pt idx="0">
                  <c:v>Substitution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Metrics!$Q$25:$AB$25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Metrics!$Q$29:$AB$29</c:f>
              <c:numCache>
                <c:formatCode>"$"#,##0</c:formatCode>
                <c:ptCount val="12"/>
                <c:pt idx="0">
                  <c:v>288400</c:v>
                </c:pt>
                <c:pt idx="1">
                  <c:v>123600</c:v>
                </c:pt>
                <c:pt idx="2">
                  <c:v>494400</c:v>
                </c:pt>
                <c:pt idx="3">
                  <c:v>1442000</c:v>
                </c:pt>
                <c:pt idx="4">
                  <c:v>41200</c:v>
                </c:pt>
                <c:pt idx="5">
                  <c:v>123600</c:v>
                </c:pt>
                <c:pt idx="6">
                  <c:v>0</c:v>
                </c:pt>
                <c:pt idx="7">
                  <c:v>0</c:v>
                </c:pt>
                <c:pt idx="8">
                  <c:v>26860</c:v>
                </c:pt>
                <c:pt idx="9">
                  <c:v>107440</c:v>
                </c:pt>
                <c:pt idx="10">
                  <c:v>107440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27-4295-8DEC-7C23903C554B}"/>
            </c:ext>
          </c:extLst>
        </c:ser>
        <c:ser>
          <c:idx val="4"/>
          <c:order val="4"/>
          <c:tx>
            <c:strRef>
              <c:f>Metrics!$A$30</c:f>
              <c:strCache>
                <c:ptCount val="1"/>
                <c:pt idx="0">
                  <c:v>After Market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Metrics!$Q$25:$AB$25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Metrics!$Q$30:$AB$30</c:f>
              <c:numCache>
                <c:formatCode>"$"#,##0</c:formatCode>
                <c:ptCount val="12"/>
                <c:pt idx="0">
                  <c:v>960300</c:v>
                </c:pt>
                <c:pt idx="1">
                  <c:v>1105800</c:v>
                </c:pt>
                <c:pt idx="2">
                  <c:v>1746000</c:v>
                </c:pt>
                <c:pt idx="3">
                  <c:v>1804200</c:v>
                </c:pt>
                <c:pt idx="4">
                  <c:v>203700</c:v>
                </c:pt>
                <c:pt idx="5">
                  <c:v>0</c:v>
                </c:pt>
                <c:pt idx="6">
                  <c:v>4015800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27-4295-8DEC-7C23903C554B}"/>
            </c:ext>
          </c:extLst>
        </c:ser>
        <c:ser>
          <c:idx val="5"/>
          <c:order val="5"/>
          <c:tx>
            <c:strRef>
              <c:f>Metrics!$A$31</c:f>
              <c:strCache>
                <c:ptCount val="1"/>
                <c:pt idx="0">
                  <c:v>Emulation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Metrics!$Q$25:$AB$25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Metrics!$Q$31:$AB$31</c:f>
              <c:numCache>
                <c:formatCode>"$"#,##0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27-4295-8DEC-7C23903C55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3783840"/>
        <c:axId val="503784168"/>
      </c:barChart>
      <c:lineChart>
        <c:grouping val="standard"/>
        <c:varyColors val="0"/>
        <c:ser>
          <c:idx val="6"/>
          <c:order val="6"/>
          <c:tx>
            <c:strRef>
              <c:f>Metrics!$A$32</c:f>
              <c:strCache>
                <c:ptCount val="1"/>
                <c:pt idx="0">
                  <c:v>Volume of Cost Avoidance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0025595681076539E-2"/>
                  <c:y val="-6.7701515851291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17-4C8B-BAE8-F719945BEED1}"/>
                </c:ext>
              </c:extLst>
            </c:dLbl>
            <c:dLbl>
              <c:idx val="1"/>
              <c:layout>
                <c:manualLayout>
                  <c:x val="-4.6431925185483648E-2"/>
                  <c:y val="-8.273821326925769E-2"/>
                </c:manualLayout>
              </c:layout>
              <c:tx>
                <c:rich>
                  <a:bodyPr/>
                  <a:lstStyle/>
                  <a:p>
                    <a:fld id="{93871D87-82DC-477C-85D3-D49C5757AEE4}" type="VALUE">
                      <a:rPr lang="en-US" sz="900" baseline="0"/>
                      <a:pPr/>
                      <a:t>[VALUE]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EDF6-4709-A8D0-F13BF00DADF0}"/>
                </c:ext>
              </c:extLst>
            </c:dLbl>
            <c:dLbl>
              <c:idx val="2"/>
              <c:layout>
                <c:manualLayout>
                  <c:x val="-4.2542596422890037E-2"/>
                  <c:y val="-5.6463018476181626E-2"/>
                </c:manualLayout>
              </c:layout>
              <c:tx>
                <c:rich>
                  <a:bodyPr/>
                  <a:lstStyle/>
                  <a:p>
                    <a:fld id="{E700C83E-033D-4389-87E3-300AEA430565}" type="VALUE">
                      <a:rPr lang="en-US" sz="900" baseline="0"/>
                      <a:pPr/>
                      <a:t>[VALUE]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325-4EC6-A934-035905C67BAD}"/>
                </c:ext>
              </c:extLst>
            </c:dLbl>
            <c:dLbl>
              <c:idx val="3"/>
              <c:layout>
                <c:manualLayout>
                  <c:x val="1.6118618285901453E-3"/>
                  <c:y val="-1.9429005505528858E-2"/>
                </c:manualLayout>
              </c:layout>
              <c:spPr>
                <a:noFill/>
                <a:ln w="190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ln w="0" cmpd="dbl"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540736917424837E-2"/>
                      <c:h val="2.27667323753091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4B0-4E20-ABCD-3EA153DEC5B0}"/>
                </c:ext>
              </c:extLst>
            </c:dLbl>
            <c:dLbl>
              <c:idx val="4"/>
              <c:layout>
                <c:manualLayout>
                  <c:x val="-9.0278085540434899E-3"/>
                  <c:y val="-5.275932557271504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 cmpd="dbl">
                          <a:noFill/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F600BB0-AEB5-4045-94C8-D32D1F0EF67A}" type="VALUE">
                      <a:rPr lang="en-US" sz="950" baseline="0"/>
                      <a:pPr>
                        <a:defRPr>
                          <a:ln w="0" cmpd="dbl">
                            <a:noFill/>
                          </a:ln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 cmpd="dbl"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061703478245347E-2"/>
                      <c:h val="2.959950776839452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8C9-4624-8B28-861EC7D95261}"/>
                </c:ext>
              </c:extLst>
            </c:dLbl>
            <c:dLbl>
              <c:idx val="5"/>
              <c:layout>
                <c:manualLayout>
                  <c:x val="-4.2003829093385528E-2"/>
                  <c:y val="-0.1175689940745579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 cmpd="dbl">
                          <a:noFill/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9D3DDFC-C413-4BF3-92CC-FD4BDBA70FBB}" type="VALUE">
                      <a:rPr lang="en-US" sz="950" baseline="0"/>
                      <a:pPr>
                        <a:defRPr>
                          <a:ln w="0" cmpd="dbl">
                            <a:noFill/>
                          </a:ln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 cmpd="dbl"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613963532212566E-2"/>
                      <c:h val="2.589610647132925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627-4295-8DEC-7C23903C554B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 cmpd="dbl">
                          <a:noFill/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CFC5D05-E46A-4D56-B69B-AD69145B4D3D}" type="VALUE">
                      <a:rPr lang="en-US" sz="1000" baseline="0"/>
                      <a:pPr>
                        <a:defRPr>
                          <a:ln w="0" cmpd="dbl">
                            <a:noFill/>
                          </a:ln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 cmpd="dbl"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381517725411627E-2"/>
                      <c:h val="2.959950776839452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3627-4295-8DEC-7C23903C554B}"/>
                </c:ext>
              </c:extLst>
            </c:dLbl>
            <c:dLbl>
              <c:idx val="7"/>
              <c:layout>
                <c:manualLayout>
                  <c:x val="-2.7279088202192502E-2"/>
                  <c:y val="-0.117568921172957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 cmpd="dbl">
                          <a:noFill/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C8A8C74-C9B8-452F-81CB-1DE778E92F1E}" type="VALUE">
                      <a:rPr lang="en-US" sz="1000" baseline="0"/>
                      <a:pPr>
                        <a:defRPr>
                          <a:ln w="0" cmpd="dbl">
                            <a:noFill/>
                          </a:ln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 cmpd="dbl"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509449750203281E-2"/>
                      <c:h val="2.959950776839452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3627-4295-8DEC-7C23903C554B}"/>
                </c:ext>
              </c:extLst>
            </c:dLbl>
            <c:dLbl>
              <c:idx val="8"/>
              <c:layout>
                <c:manualLayout>
                  <c:x val="-5.9132122990419221E-2"/>
                  <c:y val="-0.1092365598609619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 cmpd="dbl">
                          <a:noFill/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E4AD944-B489-455C-8BE3-1CCFD488E05D}" type="VALUE">
                      <a:rPr lang="en-US" sz="1000" baseline="0"/>
                      <a:pPr>
                        <a:defRPr>
                          <a:ln w="0" cmpd="dbl">
                            <a:noFill/>
                          </a:ln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 cmpd="dbl"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760978567683163E-2"/>
                      <c:h val="3.885801101105770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3627-4295-8DEC-7C23903C554B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 cmpd="dbl">
                          <a:noFill/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362598-066F-4886-A3E0-21F054E2C96D}" type="VALUE">
                      <a:rPr lang="en-US" sz="1000" baseline="0"/>
                      <a:pPr>
                        <a:defRPr>
                          <a:ln w="0" cmpd="dbl">
                            <a:noFill/>
                          </a:ln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 cmpd="dbl"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381517725411627E-2"/>
                      <c:h val="2.774780711986189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E4C-450C-B0EA-75C4177A90EC}"/>
                </c:ext>
              </c:extLst>
            </c:dLbl>
            <c:dLbl>
              <c:idx val="10"/>
              <c:layout>
                <c:manualLayout>
                  <c:x val="-3.3498912202707364E-2"/>
                  <c:y val="-5.64630184761815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 cmpd="dbl">
                          <a:noFill/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EDFF422-1546-4EB6-9DC7-86406822E2C3}" type="VALUE">
                      <a:rPr lang="en-US" sz="1000" baseline="0"/>
                      <a:pPr>
                        <a:defRPr>
                          <a:ln w="0" cmpd="dbl">
                            <a:noFill/>
                          </a:ln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 cmpd="dbl"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18962917711187E-2"/>
                      <c:h val="3.70063103625250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D31C-4BFB-B4A1-03D59792E34C}"/>
                </c:ext>
              </c:extLst>
            </c:dLbl>
            <c:dLbl>
              <c:idx val="11"/>
              <c:layout>
                <c:manualLayout>
                  <c:x val="-5.2118262067789176E-2"/>
                  <c:y val="-6.386989397191247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 w="0" cmpd="dbl">
                          <a:noFill/>
                        </a:ln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111CCC9-C7F0-4B0A-B836-E4212CBD73BD}" type="VALUE">
                      <a:rPr lang="en-US" sz="1400" baseline="0"/>
                      <a:pPr>
                        <a:defRPr>
                          <a:ln w="0" cmpd="dbl">
                            <a:noFill/>
                          </a:ln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 w="0" cmpd="dbl"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4021146219744186E-2"/>
                      <c:h val="4.0709711659590343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233-4D21-BF50-C8779C654EFD}"/>
                </c:ext>
              </c:extLst>
            </c:dLbl>
            <c:spPr>
              <a:noFill/>
              <a:ln w="19050"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0" cmpd="dbl"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Metrics!$Q$25:$AB$25</c:f>
              <c:numCache>
                <c:formatCode>[$-409]mmm\-yy;@</c:formatCode>
                <c:ptCount val="12"/>
                <c:pt idx="0">
                  <c:v>42887</c:v>
                </c:pt>
                <c:pt idx="1">
                  <c:v>42917</c:v>
                </c:pt>
                <c:pt idx="2">
                  <c:v>42948</c:v>
                </c:pt>
                <c:pt idx="3">
                  <c:v>42979</c:v>
                </c:pt>
                <c:pt idx="4">
                  <c:v>43009</c:v>
                </c:pt>
                <c:pt idx="5">
                  <c:v>43040</c:v>
                </c:pt>
                <c:pt idx="6">
                  <c:v>43070</c:v>
                </c:pt>
                <c:pt idx="7">
                  <c:v>43101</c:v>
                </c:pt>
                <c:pt idx="8">
                  <c:v>43132</c:v>
                </c:pt>
                <c:pt idx="9">
                  <c:v>43160</c:v>
                </c:pt>
                <c:pt idx="10">
                  <c:v>43191</c:v>
                </c:pt>
                <c:pt idx="11">
                  <c:v>43221</c:v>
                </c:pt>
              </c:numCache>
            </c:numRef>
          </c:cat>
          <c:val>
            <c:numRef>
              <c:f>Metrics!$Q$32:$AB$32</c:f>
              <c:numCache>
                <c:formatCode>"$"#,##0</c:formatCode>
                <c:ptCount val="12"/>
                <c:pt idx="0">
                  <c:v>1819600</c:v>
                </c:pt>
                <c:pt idx="1">
                  <c:v>2322300</c:v>
                </c:pt>
                <c:pt idx="2">
                  <c:v>5510100</c:v>
                </c:pt>
                <c:pt idx="3">
                  <c:v>8490200</c:v>
                </c:pt>
                <c:pt idx="4">
                  <c:v>3855400</c:v>
                </c:pt>
                <c:pt idx="5">
                  <c:v>1770000</c:v>
                </c:pt>
                <c:pt idx="6">
                  <c:v>5430900</c:v>
                </c:pt>
                <c:pt idx="7">
                  <c:v>1017092</c:v>
                </c:pt>
                <c:pt idx="8">
                  <c:v>1799703</c:v>
                </c:pt>
                <c:pt idx="9">
                  <c:v>4423742</c:v>
                </c:pt>
                <c:pt idx="10">
                  <c:v>4423742</c:v>
                </c:pt>
                <c:pt idx="11">
                  <c:v>1012767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627-4295-8DEC-7C23903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783840"/>
        <c:axId val="503784168"/>
      </c:lineChart>
      <c:dateAx>
        <c:axId val="50378384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784168"/>
        <c:crosses val="autoZero"/>
        <c:auto val="1"/>
        <c:lblOffset val="100"/>
        <c:baseTimeUnit val="months"/>
      </c:dateAx>
      <c:valAx>
        <c:axId val="503784168"/>
        <c:scaling>
          <c:orientation val="minMax"/>
          <c:max val="85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cross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78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413905</xdr:colOff>
      <xdr:row>32</xdr:row>
      <xdr:rowOff>182705</xdr:rowOff>
    </xdr:from>
    <xdr:to>
      <xdr:col>18</xdr:col>
      <xdr:colOff>616323</xdr:colOff>
      <xdr:row>72</xdr:row>
      <xdr:rowOff>100852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115</xdr:col>
      <xdr:colOff>138393</xdr:colOff>
      <xdr:row>36</xdr:row>
      <xdr:rowOff>44823</xdr:rowOff>
    </xdr:from>
    <xdr:to>
      <xdr:col>125</xdr:col>
      <xdr:colOff>8444194</xdr:colOff>
      <xdr:row>72</xdr:row>
      <xdr:rowOff>45383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0.432</cdr:x>
      <cdr:y>0.0719</cdr:y>
    </cdr:from>
    <cdr:to>
      <cdr:x>0.68715</cdr:x>
      <cdr:y>0.27144</cdr:y>
    </cdr:to>
    <cdr:sp macro="" textlink="">
      <cdr:nvSpPr>
        <cdr:cNvPr id="2" name="Explosion 1 1">
          <a:extLst xmlns:a="http://schemas.openxmlformats.org/drawingml/2006/main">
            <a:ext uri="{FF2B5EF4-FFF2-40B4-BE49-F238E27FC236}">
              <a16:creationId xmlns:a16="http://schemas.microsoft.com/office/drawing/2014/main" id="{8D4B066D-084B-4E45-BB35-32D020C84BC8}"/>
            </a:ext>
          </a:extLst>
        </cdr:cNvPr>
        <cdr:cNvSpPr/>
      </cdr:nvSpPr>
      <cdr:spPr>
        <a:xfrm xmlns:a="http://schemas.openxmlformats.org/drawingml/2006/main">
          <a:off x="5156546" y="493115"/>
          <a:ext cx="3045600" cy="1368557"/>
        </a:xfrm>
        <a:prstGeom xmlns:a="http://schemas.openxmlformats.org/drawingml/2006/main" prst="irregularSeal1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/>
            <a:t>  $82,582,600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35"/>
  <sheetViews>
    <sheetView tabSelected="1" topLeftCell="CV1" zoomScale="85" zoomScaleNormal="85" workbookViewId="0">
      <selection activeCell="DK25" sqref="DK25"/>
    </sheetView>
  </sheetViews>
  <sheetFormatPr defaultRowHeight="15" x14ac:dyDescent="0.25"/>
  <cols>
    <col min="1" max="1" width="16.140625" bestFit="1" customWidth="1"/>
    <col min="2" max="2" width="8.5703125" bestFit="1" customWidth="1"/>
    <col min="3" max="7" width="10.140625" bestFit="1" customWidth="1"/>
    <col min="8" max="18" width="11.140625" bestFit="1" customWidth="1"/>
    <col min="19" max="35" width="11.140625" customWidth="1"/>
    <col min="36" max="38" width="12.28515625" bestFit="1" customWidth="1"/>
    <col min="39" max="115" width="15.140625" customWidth="1"/>
    <col min="116" max="116" width="27.28515625" customWidth="1"/>
    <col min="117" max="125" width="27.140625" customWidth="1"/>
    <col min="126" max="126" width="148.42578125" bestFit="1" customWidth="1"/>
  </cols>
  <sheetData>
    <row r="1" spans="1:127" s="2" customFormat="1" ht="60" x14ac:dyDescent="0.25">
      <c r="A1" s="13" t="s">
        <v>0</v>
      </c>
      <c r="B1" s="14">
        <v>42430</v>
      </c>
      <c r="C1" s="14">
        <v>42461</v>
      </c>
      <c r="D1" s="14">
        <v>42491</v>
      </c>
      <c r="E1" s="14">
        <v>42522</v>
      </c>
      <c r="F1" s="14">
        <v>42552</v>
      </c>
      <c r="G1" s="14">
        <v>42583</v>
      </c>
      <c r="H1" s="14">
        <v>42614</v>
      </c>
      <c r="I1" s="14">
        <v>42644</v>
      </c>
      <c r="J1" s="14">
        <v>42675</v>
      </c>
      <c r="K1" s="14">
        <v>42705</v>
      </c>
      <c r="L1" s="14">
        <v>42736</v>
      </c>
      <c r="M1" s="14">
        <v>42767</v>
      </c>
      <c r="N1" s="14">
        <v>42795</v>
      </c>
      <c r="O1" s="14">
        <v>42826</v>
      </c>
      <c r="P1" s="14">
        <v>42856</v>
      </c>
      <c r="Q1" s="14">
        <v>42887</v>
      </c>
      <c r="R1" s="14">
        <v>42917</v>
      </c>
      <c r="S1" s="14">
        <v>42948</v>
      </c>
      <c r="T1" s="14">
        <v>42979</v>
      </c>
      <c r="U1" s="14">
        <v>43009</v>
      </c>
      <c r="V1" s="14">
        <v>43040</v>
      </c>
      <c r="W1" s="14">
        <v>43070</v>
      </c>
      <c r="X1" s="14">
        <v>43101</v>
      </c>
      <c r="Y1" s="14">
        <v>43132</v>
      </c>
      <c r="Z1" s="14">
        <v>43160</v>
      </c>
      <c r="AA1" s="14">
        <v>43191</v>
      </c>
      <c r="AB1" s="14">
        <v>43221</v>
      </c>
      <c r="AC1" s="14">
        <v>43696</v>
      </c>
      <c r="AD1" s="14">
        <v>43727</v>
      </c>
      <c r="AE1" s="14">
        <v>43739</v>
      </c>
      <c r="AF1" s="14">
        <v>43770</v>
      </c>
      <c r="AG1" s="14">
        <v>43800</v>
      </c>
      <c r="AH1" s="14">
        <v>43850</v>
      </c>
      <c r="AI1" s="14">
        <v>43881</v>
      </c>
      <c r="AJ1" s="14">
        <v>43910</v>
      </c>
      <c r="AK1" s="14">
        <v>43941</v>
      </c>
      <c r="AL1" s="14">
        <v>43971</v>
      </c>
      <c r="AM1" s="14">
        <v>44002</v>
      </c>
      <c r="AN1" s="14">
        <v>44032</v>
      </c>
      <c r="AO1" s="14">
        <v>44063</v>
      </c>
      <c r="AP1" s="14">
        <v>44095</v>
      </c>
      <c r="AQ1" s="14">
        <v>44125</v>
      </c>
      <c r="AR1" s="14">
        <v>44156</v>
      </c>
      <c r="AS1" s="14">
        <v>44186</v>
      </c>
      <c r="AT1" s="14">
        <v>44197</v>
      </c>
      <c r="AU1" s="14">
        <v>44229</v>
      </c>
      <c r="AV1" s="14">
        <v>44276</v>
      </c>
      <c r="AW1" s="14">
        <v>44307</v>
      </c>
      <c r="AX1" s="14">
        <v>44337</v>
      </c>
      <c r="AY1" s="14">
        <v>44368</v>
      </c>
      <c r="AZ1" s="14">
        <v>44398</v>
      </c>
      <c r="BA1" s="14">
        <v>44429</v>
      </c>
      <c r="BB1" s="14">
        <v>44460</v>
      </c>
      <c r="BC1" s="14">
        <v>44490</v>
      </c>
      <c r="BD1" s="14">
        <v>44521</v>
      </c>
      <c r="BE1" s="14">
        <v>44551</v>
      </c>
      <c r="BF1" s="14">
        <v>44583</v>
      </c>
      <c r="BG1" s="14">
        <v>44614</v>
      </c>
      <c r="BH1" s="14">
        <v>44642</v>
      </c>
      <c r="BI1" s="14">
        <v>44673</v>
      </c>
      <c r="BJ1" s="14">
        <v>44703</v>
      </c>
      <c r="BK1" s="14">
        <v>44734</v>
      </c>
      <c r="BL1" s="14">
        <v>44764</v>
      </c>
      <c r="BM1" s="14">
        <v>44795</v>
      </c>
      <c r="BN1" s="14">
        <v>44826</v>
      </c>
      <c r="BO1" s="14">
        <v>44856</v>
      </c>
      <c r="BP1" s="14">
        <v>44887</v>
      </c>
      <c r="BQ1" s="14">
        <v>44917</v>
      </c>
      <c r="BR1" s="14">
        <v>44948</v>
      </c>
      <c r="BS1" s="14">
        <v>44980</v>
      </c>
      <c r="BT1" s="14">
        <v>45008</v>
      </c>
      <c r="BU1" s="14">
        <v>45039</v>
      </c>
      <c r="BV1" s="14">
        <v>45069</v>
      </c>
      <c r="BW1" s="14">
        <v>45100</v>
      </c>
      <c r="BX1" s="14">
        <v>45130</v>
      </c>
      <c r="BY1" s="14">
        <v>45161</v>
      </c>
      <c r="BZ1" s="14">
        <v>45192</v>
      </c>
      <c r="CA1" s="14">
        <v>45222</v>
      </c>
      <c r="CB1" s="14">
        <v>45253</v>
      </c>
      <c r="CC1" s="14">
        <v>45283</v>
      </c>
      <c r="CD1" s="14">
        <v>45315</v>
      </c>
      <c r="CE1" s="14">
        <v>45346</v>
      </c>
      <c r="CF1" s="14">
        <v>45375</v>
      </c>
      <c r="CG1" s="14">
        <v>45406</v>
      </c>
      <c r="CH1" s="14">
        <v>45436</v>
      </c>
      <c r="CI1" s="14">
        <v>45467</v>
      </c>
      <c r="CJ1" s="14">
        <v>45497</v>
      </c>
      <c r="CK1" s="14">
        <v>45528</v>
      </c>
      <c r="CL1" s="14">
        <v>45559</v>
      </c>
      <c r="CM1" s="14">
        <v>45589</v>
      </c>
      <c r="CN1" s="14">
        <v>45621</v>
      </c>
      <c r="CO1" s="14">
        <v>45652</v>
      </c>
      <c r="CP1" s="14">
        <v>45684</v>
      </c>
      <c r="CQ1" s="14">
        <v>45716</v>
      </c>
      <c r="CR1" s="14">
        <v>45717</v>
      </c>
      <c r="CS1" s="14">
        <v>45749</v>
      </c>
      <c r="CT1" s="14">
        <v>45780</v>
      </c>
      <c r="CU1" s="14">
        <v>45812</v>
      </c>
      <c r="CV1" s="14">
        <v>45843</v>
      </c>
      <c r="CW1" s="14">
        <v>45875</v>
      </c>
      <c r="CX1" s="14">
        <v>45907</v>
      </c>
      <c r="CY1" s="14">
        <v>45938</v>
      </c>
      <c r="CZ1" s="14">
        <v>45970</v>
      </c>
      <c r="DA1" s="14">
        <v>46001</v>
      </c>
      <c r="DB1" s="14">
        <v>46033</v>
      </c>
      <c r="DC1" s="14">
        <v>46065</v>
      </c>
      <c r="DD1" s="14">
        <v>46094</v>
      </c>
      <c r="DE1" s="14">
        <v>46126</v>
      </c>
      <c r="DF1" s="14">
        <v>46157</v>
      </c>
      <c r="DG1" s="14">
        <v>46189</v>
      </c>
      <c r="DH1" s="14">
        <v>46220</v>
      </c>
      <c r="DI1" s="14">
        <v>46252</v>
      </c>
      <c r="DJ1" s="14">
        <v>46284</v>
      </c>
      <c r="DK1" s="14">
        <v>46296</v>
      </c>
      <c r="DL1" s="15" t="s">
        <v>2</v>
      </c>
      <c r="DM1" s="15" t="s">
        <v>3</v>
      </c>
      <c r="DN1" s="15" t="s">
        <v>22</v>
      </c>
      <c r="DO1" s="15" t="s">
        <v>23</v>
      </c>
      <c r="DP1" s="15" t="s">
        <v>24</v>
      </c>
      <c r="DQ1" s="15" t="s">
        <v>25</v>
      </c>
      <c r="DR1" s="15" t="s">
        <v>26</v>
      </c>
      <c r="DS1" s="15" t="s">
        <v>27</v>
      </c>
      <c r="DT1" s="15" t="s">
        <v>28</v>
      </c>
      <c r="DU1" s="15" t="s">
        <v>29</v>
      </c>
      <c r="DV1" s="16" t="s">
        <v>4</v>
      </c>
    </row>
    <row r="2" spans="1:127" x14ac:dyDescent="0.25">
      <c r="A2" s="1" t="s">
        <v>5</v>
      </c>
      <c r="B2" s="2">
        <f>3325-2733-497</f>
        <v>95</v>
      </c>
      <c r="C2" s="2">
        <v>121</v>
      </c>
      <c r="D2" s="2">
        <f>738-594</f>
        <v>144</v>
      </c>
      <c r="E2" s="2">
        <v>51</v>
      </c>
      <c r="F2">
        <v>77</v>
      </c>
      <c r="G2" s="2">
        <v>257</v>
      </c>
      <c r="H2" s="2">
        <v>119</v>
      </c>
      <c r="I2" s="2">
        <v>57</v>
      </c>
      <c r="J2" s="2">
        <v>381</v>
      </c>
      <c r="K2" s="2">
        <v>478</v>
      </c>
      <c r="L2">
        <v>358</v>
      </c>
      <c r="M2">
        <v>446</v>
      </c>
      <c r="N2">
        <v>131</v>
      </c>
      <c r="O2">
        <v>434</v>
      </c>
      <c r="P2">
        <v>69</v>
      </c>
      <c r="Q2">
        <v>69</v>
      </c>
      <c r="R2" s="3">
        <v>45</v>
      </c>
      <c r="S2">
        <v>190</v>
      </c>
      <c r="T2">
        <v>232</v>
      </c>
      <c r="U2" s="3">
        <v>213</v>
      </c>
      <c r="V2" s="3">
        <v>221</v>
      </c>
      <c r="W2" s="3">
        <v>168</v>
      </c>
      <c r="X2" s="3">
        <v>44</v>
      </c>
      <c r="Y2" s="3">
        <v>269</v>
      </c>
      <c r="Z2" s="3">
        <v>394</v>
      </c>
      <c r="AA2" s="3">
        <v>394</v>
      </c>
      <c r="AB2" s="3">
        <v>321</v>
      </c>
      <c r="AC2" s="3">
        <v>361</v>
      </c>
      <c r="AD2" s="3">
        <v>261</v>
      </c>
      <c r="AE2" s="3">
        <v>422</v>
      </c>
      <c r="AF2" s="3">
        <v>104</v>
      </c>
      <c r="AG2" s="3">
        <v>186</v>
      </c>
      <c r="AH2" s="3">
        <v>44</v>
      </c>
      <c r="AI2" s="3">
        <v>412</v>
      </c>
      <c r="AJ2" s="3">
        <v>113</v>
      </c>
      <c r="AK2" s="3">
        <v>1</v>
      </c>
      <c r="AL2" s="3">
        <v>168</v>
      </c>
      <c r="AM2" s="3">
        <v>338</v>
      </c>
      <c r="AN2" s="3">
        <v>19</v>
      </c>
      <c r="AO2" s="3">
        <v>2</v>
      </c>
      <c r="AP2" s="3">
        <v>42</v>
      </c>
      <c r="AQ2" s="3">
        <v>151</v>
      </c>
      <c r="AR2" s="3">
        <v>112</v>
      </c>
      <c r="AS2" s="3">
        <v>69</v>
      </c>
      <c r="AT2" s="3">
        <v>96</v>
      </c>
      <c r="AU2" s="3">
        <v>217</v>
      </c>
      <c r="AV2" s="3">
        <v>15</v>
      </c>
      <c r="AW2" s="3">
        <v>14</v>
      </c>
      <c r="AX2" s="3">
        <v>0</v>
      </c>
      <c r="AY2" s="3">
        <v>25</v>
      </c>
      <c r="AZ2" s="3">
        <v>22</v>
      </c>
      <c r="BA2" s="3">
        <v>27</v>
      </c>
      <c r="BB2" s="3">
        <v>55</v>
      </c>
      <c r="BC2" s="3">
        <v>46</v>
      </c>
      <c r="BD2" s="3">
        <v>49</v>
      </c>
      <c r="BE2" s="3">
        <v>36</v>
      </c>
      <c r="BF2" s="3">
        <v>115</v>
      </c>
      <c r="BG2" s="3">
        <v>5</v>
      </c>
      <c r="BH2" s="3">
        <v>3</v>
      </c>
      <c r="BI2" s="3">
        <v>9</v>
      </c>
      <c r="BJ2" s="3">
        <v>1</v>
      </c>
      <c r="BK2" s="3">
        <v>2</v>
      </c>
      <c r="BL2" s="3">
        <v>49</v>
      </c>
      <c r="BM2" s="3">
        <v>102</v>
      </c>
      <c r="BN2" s="3">
        <v>287</v>
      </c>
      <c r="BO2" s="3">
        <v>686</v>
      </c>
      <c r="BP2" s="3">
        <v>692</v>
      </c>
      <c r="BQ2" s="3">
        <v>605</v>
      </c>
      <c r="BR2" s="3">
        <v>914</v>
      </c>
      <c r="BS2" s="3">
        <v>421</v>
      </c>
      <c r="BT2" s="3">
        <v>567</v>
      </c>
      <c r="BU2" s="3">
        <v>748</v>
      </c>
      <c r="BV2" s="3">
        <v>1026</v>
      </c>
      <c r="BW2" s="3">
        <v>3</v>
      </c>
      <c r="BX2" s="3">
        <v>33</v>
      </c>
      <c r="BY2" s="3">
        <v>9</v>
      </c>
      <c r="BZ2" s="3">
        <v>27</v>
      </c>
      <c r="CA2" s="3">
        <v>0</v>
      </c>
      <c r="CB2" s="3">
        <v>0</v>
      </c>
      <c r="CC2" s="3">
        <v>16</v>
      </c>
      <c r="CD2" s="3">
        <v>28</v>
      </c>
      <c r="CE2" s="3">
        <v>4</v>
      </c>
      <c r="CF2" s="3">
        <v>4</v>
      </c>
      <c r="CG2" s="3">
        <v>2</v>
      </c>
      <c r="CH2" s="3">
        <v>212</v>
      </c>
      <c r="CI2" s="3">
        <v>511</v>
      </c>
      <c r="CJ2" s="3">
        <v>466</v>
      </c>
      <c r="CK2" s="3">
        <v>479</v>
      </c>
      <c r="CL2" s="3">
        <v>793</v>
      </c>
      <c r="CM2" s="3">
        <v>754</v>
      </c>
      <c r="CN2" s="3">
        <v>356</v>
      </c>
      <c r="CO2" s="3">
        <v>222</v>
      </c>
      <c r="CP2" s="3">
        <v>245</v>
      </c>
      <c r="CQ2" s="3">
        <v>275</v>
      </c>
      <c r="CR2" s="3">
        <v>267</v>
      </c>
      <c r="CS2" s="3">
        <v>405</v>
      </c>
      <c r="CT2" s="3">
        <v>229</v>
      </c>
      <c r="CU2" s="3">
        <v>272</v>
      </c>
      <c r="CV2" s="3">
        <v>221</v>
      </c>
      <c r="CW2" s="3">
        <v>256</v>
      </c>
      <c r="CX2" s="3">
        <v>362</v>
      </c>
      <c r="CY2" s="3">
        <v>308</v>
      </c>
      <c r="CZ2" s="3">
        <v>164</v>
      </c>
      <c r="DA2" s="3">
        <v>32</v>
      </c>
      <c r="DB2" s="3">
        <v>461</v>
      </c>
      <c r="DC2" s="3">
        <v>174</v>
      </c>
      <c r="DD2" s="3">
        <v>145</v>
      </c>
      <c r="DE2" s="3">
        <v>446</v>
      </c>
      <c r="DF2" s="3">
        <v>326</v>
      </c>
      <c r="DG2" s="3">
        <v>280</v>
      </c>
      <c r="DH2" s="3">
        <v>473</v>
      </c>
      <c r="DI2" s="3">
        <v>474</v>
      </c>
      <c r="DJ2" s="3">
        <v>234</v>
      </c>
      <c r="DK2" s="3">
        <v>290</v>
      </c>
      <c r="DL2" s="4">
        <v>2600</v>
      </c>
      <c r="DM2" s="4">
        <v>2700</v>
      </c>
      <c r="DN2" s="4">
        <v>1087</v>
      </c>
      <c r="DO2" s="4">
        <v>1108</v>
      </c>
      <c r="DP2" s="4">
        <v>1130</v>
      </c>
      <c r="DQ2" s="4">
        <v>1165</v>
      </c>
      <c r="DR2" s="4">
        <v>1186</v>
      </c>
      <c r="DS2" s="4">
        <v>1200</v>
      </c>
      <c r="DT2" s="4">
        <v>1258</v>
      </c>
      <c r="DU2" s="4">
        <v>1281</v>
      </c>
      <c r="DV2" s="5" t="s">
        <v>18</v>
      </c>
    </row>
    <row r="3" spans="1:127" x14ac:dyDescent="0.25">
      <c r="A3" s="1" t="s">
        <v>6</v>
      </c>
      <c r="B3" s="2">
        <f>572-524-17</f>
        <v>31</v>
      </c>
      <c r="C3" s="2">
        <v>72</v>
      </c>
      <c r="D3" s="2">
        <f>2056-57-1666</f>
        <v>333</v>
      </c>
      <c r="E3" s="2">
        <v>52</v>
      </c>
      <c r="F3">
        <v>109</v>
      </c>
      <c r="G3" s="2">
        <v>156</v>
      </c>
      <c r="H3" s="2">
        <v>119</v>
      </c>
      <c r="I3" s="2">
        <v>60</v>
      </c>
      <c r="J3" s="2">
        <v>97</v>
      </c>
      <c r="K3" s="2">
        <v>366</v>
      </c>
      <c r="L3">
        <v>126</v>
      </c>
      <c r="M3">
        <v>234</v>
      </c>
      <c r="N3">
        <v>55</v>
      </c>
      <c r="O3">
        <v>61</v>
      </c>
      <c r="P3">
        <v>83</v>
      </c>
      <c r="Q3">
        <v>27</v>
      </c>
      <c r="R3" s="3">
        <v>73</v>
      </c>
      <c r="S3">
        <v>414</v>
      </c>
      <c r="T3">
        <v>602</v>
      </c>
      <c r="U3" s="3">
        <v>453</v>
      </c>
      <c r="V3" s="3">
        <v>164</v>
      </c>
      <c r="W3" s="3">
        <v>150</v>
      </c>
      <c r="X3" s="3">
        <v>168</v>
      </c>
      <c r="Y3" s="3">
        <v>258</v>
      </c>
      <c r="Z3" s="3">
        <v>686</v>
      </c>
      <c r="AA3" s="3">
        <v>686</v>
      </c>
      <c r="AB3" s="3">
        <v>120</v>
      </c>
      <c r="AC3" s="3">
        <v>373</v>
      </c>
      <c r="AD3" s="3">
        <v>324</v>
      </c>
      <c r="AE3" s="3">
        <v>377</v>
      </c>
      <c r="AF3" s="3">
        <v>247</v>
      </c>
      <c r="AG3" s="3">
        <v>212</v>
      </c>
      <c r="AH3" s="3">
        <v>72</v>
      </c>
      <c r="AI3" s="3">
        <v>470</v>
      </c>
      <c r="AJ3" s="3">
        <v>221</v>
      </c>
      <c r="AK3" s="3">
        <v>11</v>
      </c>
      <c r="AL3" s="3">
        <v>74</v>
      </c>
      <c r="AM3" s="3">
        <v>9</v>
      </c>
      <c r="AN3" s="3">
        <v>24</v>
      </c>
      <c r="AO3" s="3">
        <v>375</v>
      </c>
      <c r="AP3" s="3">
        <v>1</v>
      </c>
      <c r="AQ3" s="3">
        <v>43</v>
      </c>
      <c r="AR3" s="3">
        <v>12</v>
      </c>
      <c r="AS3" s="3">
        <v>17</v>
      </c>
      <c r="AT3" s="3">
        <v>17</v>
      </c>
      <c r="AU3" s="3">
        <v>38</v>
      </c>
      <c r="AV3" s="3">
        <v>25</v>
      </c>
      <c r="AW3" s="3">
        <v>82</v>
      </c>
      <c r="AX3" s="3">
        <v>78</v>
      </c>
      <c r="AY3" s="3">
        <v>99</v>
      </c>
      <c r="AZ3" s="3">
        <v>88</v>
      </c>
      <c r="BA3" s="3">
        <v>80</v>
      </c>
      <c r="BB3" s="3">
        <v>92</v>
      </c>
      <c r="BC3" s="3">
        <v>100</v>
      </c>
      <c r="BD3" s="3">
        <v>220</v>
      </c>
      <c r="BE3" s="3">
        <v>130</v>
      </c>
      <c r="BF3" s="3">
        <v>58</v>
      </c>
      <c r="BG3" s="3">
        <v>147</v>
      </c>
      <c r="BH3" s="3">
        <v>84</v>
      </c>
      <c r="BI3" s="3">
        <v>88</v>
      </c>
      <c r="BJ3" s="3">
        <v>50</v>
      </c>
      <c r="BK3" s="3">
        <v>70</v>
      </c>
      <c r="BL3" s="3">
        <v>381</v>
      </c>
      <c r="BM3" s="3">
        <v>498</v>
      </c>
      <c r="BN3" s="3">
        <v>158</v>
      </c>
      <c r="BO3" s="3">
        <v>275</v>
      </c>
      <c r="BP3" s="3">
        <v>104</v>
      </c>
      <c r="BQ3" s="3">
        <v>1</v>
      </c>
      <c r="BR3" s="3">
        <v>2</v>
      </c>
      <c r="BS3" s="3">
        <v>12</v>
      </c>
      <c r="BT3" s="3">
        <v>4</v>
      </c>
      <c r="BU3" s="3">
        <v>169</v>
      </c>
      <c r="BV3" s="3">
        <v>37</v>
      </c>
      <c r="BW3" s="3">
        <v>12</v>
      </c>
      <c r="BX3" s="3">
        <v>36</v>
      </c>
      <c r="BY3" s="3">
        <v>109</v>
      </c>
      <c r="BZ3" s="3">
        <v>50</v>
      </c>
      <c r="CA3" s="3">
        <v>18</v>
      </c>
      <c r="CB3" s="3">
        <v>0</v>
      </c>
      <c r="CC3" s="3">
        <v>67</v>
      </c>
      <c r="CD3" s="3">
        <v>95</v>
      </c>
      <c r="CE3" s="3">
        <v>326</v>
      </c>
      <c r="CF3" s="3">
        <v>119</v>
      </c>
      <c r="CG3" s="3">
        <v>29</v>
      </c>
      <c r="CH3" s="3">
        <v>95</v>
      </c>
      <c r="CI3" s="3">
        <v>348</v>
      </c>
      <c r="CJ3" s="3">
        <v>196</v>
      </c>
      <c r="CK3" s="3">
        <v>368</v>
      </c>
      <c r="CL3" s="3">
        <v>330</v>
      </c>
      <c r="CM3" s="3">
        <v>216</v>
      </c>
      <c r="CN3" s="3">
        <v>193</v>
      </c>
      <c r="CO3" s="3">
        <v>113</v>
      </c>
      <c r="CP3" s="3">
        <v>164</v>
      </c>
      <c r="CQ3" s="3">
        <v>74</v>
      </c>
      <c r="CR3" s="3">
        <v>107</v>
      </c>
      <c r="CS3" s="3">
        <v>189</v>
      </c>
      <c r="CT3" s="3">
        <v>105</v>
      </c>
      <c r="CU3" s="3">
        <v>170</v>
      </c>
      <c r="CV3" s="3">
        <v>131</v>
      </c>
      <c r="CW3" s="3">
        <v>208</v>
      </c>
      <c r="CX3" s="3">
        <v>399</v>
      </c>
      <c r="CY3" s="3">
        <v>382</v>
      </c>
      <c r="CZ3" s="3">
        <v>291</v>
      </c>
      <c r="DA3" s="3">
        <v>384</v>
      </c>
      <c r="DB3" s="3">
        <v>438</v>
      </c>
      <c r="DC3" s="3">
        <v>178</v>
      </c>
      <c r="DD3" s="3">
        <v>286</v>
      </c>
      <c r="DE3" s="3">
        <v>313</v>
      </c>
      <c r="DF3" s="3">
        <v>281</v>
      </c>
      <c r="DG3" s="3">
        <v>217</v>
      </c>
      <c r="DH3" s="3">
        <v>265</v>
      </c>
      <c r="DI3" s="3">
        <v>283</v>
      </c>
      <c r="DJ3" s="3">
        <v>495</v>
      </c>
      <c r="DK3" s="3">
        <v>294</v>
      </c>
      <c r="DL3" s="4">
        <v>6200</v>
      </c>
      <c r="DM3" s="4">
        <v>6300</v>
      </c>
      <c r="DN3" s="4">
        <v>5532</v>
      </c>
      <c r="DO3" s="4">
        <v>5642</v>
      </c>
      <c r="DP3" s="4">
        <v>5754</v>
      </c>
      <c r="DQ3" s="4">
        <v>5928</v>
      </c>
      <c r="DR3" s="4">
        <v>6035</v>
      </c>
      <c r="DS3" s="4">
        <v>6107</v>
      </c>
      <c r="DT3" s="4">
        <v>6399</v>
      </c>
      <c r="DU3" s="4">
        <v>6514</v>
      </c>
      <c r="DV3" s="5" t="s">
        <v>19</v>
      </c>
    </row>
    <row r="4" spans="1:127" x14ac:dyDescent="0.25">
      <c r="A4" s="1" t="s">
        <v>7</v>
      </c>
      <c r="B4" s="2">
        <f>99-48-39</f>
        <v>12</v>
      </c>
      <c r="C4" s="2">
        <v>16</v>
      </c>
      <c r="D4" s="2">
        <f>83-49</f>
        <v>34</v>
      </c>
      <c r="E4" s="2">
        <v>8</v>
      </c>
      <c r="F4">
        <v>21</v>
      </c>
      <c r="G4" s="2">
        <v>27</v>
      </c>
      <c r="H4" s="2">
        <v>28</v>
      </c>
      <c r="I4" s="2">
        <v>33</v>
      </c>
      <c r="J4" s="2">
        <v>37</v>
      </c>
      <c r="K4" s="2">
        <v>45</v>
      </c>
      <c r="L4">
        <v>8</v>
      </c>
      <c r="M4">
        <v>60</v>
      </c>
      <c r="N4">
        <v>8</v>
      </c>
      <c r="O4">
        <v>6</v>
      </c>
      <c r="P4">
        <v>13</v>
      </c>
      <c r="Q4">
        <v>13</v>
      </c>
      <c r="R4" s="3">
        <v>31</v>
      </c>
      <c r="S4">
        <v>9</v>
      </c>
      <c r="T4">
        <v>50</v>
      </c>
      <c r="U4" s="3">
        <v>11</v>
      </c>
      <c r="V4" s="3">
        <v>1</v>
      </c>
      <c r="W4" s="3">
        <v>1</v>
      </c>
      <c r="X4" s="3">
        <v>3</v>
      </c>
      <c r="Y4" s="3">
        <v>4</v>
      </c>
      <c r="Z4" s="3">
        <v>7</v>
      </c>
      <c r="AA4" s="3">
        <v>7</v>
      </c>
      <c r="AB4" s="3">
        <v>0</v>
      </c>
      <c r="AC4" s="3">
        <v>0</v>
      </c>
      <c r="AD4" s="3">
        <v>2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3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4">
        <v>16200</v>
      </c>
      <c r="DM4" s="4">
        <v>16500</v>
      </c>
      <c r="DN4" s="4">
        <v>13296</v>
      </c>
      <c r="DO4" s="4">
        <v>13561</v>
      </c>
      <c r="DP4" s="4">
        <v>13832</v>
      </c>
      <c r="DQ4" s="4">
        <v>14247</v>
      </c>
      <c r="DR4" s="4">
        <v>14503</v>
      </c>
      <c r="DS4" s="4">
        <v>14678</v>
      </c>
      <c r="DT4" s="4">
        <v>15379</v>
      </c>
      <c r="DU4" s="4">
        <v>15656</v>
      </c>
      <c r="DV4" s="5" t="s">
        <v>20</v>
      </c>
    </row>
    <row r="5" spans="1:127" x14ac:dyDescent="0.25">
      <c r="A5" s="1" t="s">
        <v>8</v>
      </c>
      <c r="B5" s="2">
        <v>2</v>
      </c>
      <c r="C5" s="2">
        <v>3</v>
      </c>
      <c r="D5" s="2">
        <v>0</v>
      </c>
      <c r="E5" s="2">
        <v>0</v>
      </c>
      <c r="F5">
        <v>0</v>
      </c>
      <c r="G5" s="2">
        <v>1</v>
      </c>
      <c r="H5" s="2">
        <v>6</v>
      </c>
      <c r="I5" s="2">
        <v>4</v>
      </c>
      <c r="J5" s="2">
        <v>12</v>
      </c>
      <c r="K5" s="2">
        <v>7</v>
      </c>
      <c r="L5">
        <v>7</v>
      </c>
      <c r="M5">
        <v>14</v>
      </c>
      <c r="N5">
        <v>5</v>
      </c>
      <c r="O5">
        <v>2</v>
      </c>
      <c r="P5">
        <v>11</v>
      </c>
      <c r="Q5">
        <v>7</v>
      </c>
      <c r="R5" s="3">
        <v>3</v>
      </c>
      <c r="S5">
        <v>12</v>
      </c>
      <c r="T5">
        <v>35</v>
      </c>
      <c r="U5" s="3">
        <v>1</v>
      </c>
      <c r="V5" s="3">
        <v>3</v>
      </c>
      <c r="W5" s="3">
        <v>0</v>
      </c>
      <c r="X5" s="3">
        <v>0</v>
      </c>
      <c r="Y5" s="3">
        <v>1</v>
      </c>
      <c r="Z5" s="3">
        <v>4</v>
      </c>
      <c r="AA5" s="3">
        <v>4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4">
        <v>40400</v>
      </c>
      <c r="DM5" s="4">
        <v>41200</v>
      </c>
      <c r="DN5" s="4">
        <v>26860</v>
      </c>
      <c r="DO5" s="4">
        <v>27397</v>
      </c>
      <c r="DP5" s="4">
        <v>27944</v>
      </c>
      <c r="DQ5" s="4">
        <v>28779</v>
      </c>
      <c r="DR5" s="4">
        <v>29297</v>
      </c>
      <c r="DS5" s="4">
        <v>29650</v>
      </c>
      <c r="DT5" s="4">
        <v>31068</v>
      </c>
      <c r="DU5" s="4">
        <v>31627</v>
      </c>
      <c r="DV5" s="5" t="s">
        <v>21</v>
      </c>
    </row>
    <row r="6" spans="1:127" x14ac:dyDescent="0.25">
      <c r="A6" s="1" t="s">
        <v>9</v>
      </c>
      <c r="B6" s="2">
        <v>2</v>
      </c>
      <c r="C6" s="2">
        <v>7</v>
      </c>
      <c r="D6" s="2">
        <v>10</v>
      </c>
      <c r="E6" s="2">
        <v>2</v>
      </c>
      <c r="F6">
        <v>13</v>
      </c>
      <c r="G6" s="2">
        <v>1</v>
      </c>
      <c r="H6" s="2">
        <v>4</v>
      </c>
      <c r="I6" s="2">
        <v>0</v>
      </c>
      <c r="J6" s="2">
        <v>1</v>
      </c>
      <c r="K6" s="2">
        <v>12</v>
      </c>
      <c r="L6">
        <v>2</v>
      </c>
      <c r="M6">
        <v>6</v>
      </c>
      <c r="N6">
        <v>2</v>
      </c>
      <c r="O6">
        <v>5</v>
      </c>
      <c r="P6">
        <v>100</v>
      </c>
      <c r="Q6">
        <v>33</v>
      </c>
      <c r="R6" s="3">
        <v>38</v>
      </c>
      <c r="S6">
        <v>60</v>
      </c>
      <c r="T6">
        <v>62</v>
      </c>
      <c r="U6" s="3">
        <v>7</v>
      </c>
      <c r="V6" s="3">
        <v>0</v>
      </c>
      <c r="W6" s="3">
        <v>138</v>
      </c>
      <c r="X6" s="3">
        <v>4</v>
      </c>
      <c r="Y6" s="3">
        <v>1</v>
      </c>
      <c r="Z6" s="3">
        <v>38</v>
      </c>
      <c r="AA6" s="3">
        <v>38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4">
        <v>28500</v>
      </c>
      <c r="DM6" s="4">
        <v>29100</v>
      </c>
      <c r="DN6" s="4"/>
      <c r="DO6" s="4"/>
      <c r="DP6" s="4"/>
      <c r="DQ6" s="4"/>
      <c r="DR6" s="4"/>
      <c r="DS6" s="4"/>
      <c r="DT6" s="4"/>
      <c r="DU6" s="4"/>
      <c r="DV6" s="5" t="s">
        <v>10</v>
      </c>
    </row>
    <row r="7" spans="1:127" ht="15.75" thickBot="1" x14ac:dyDescent="0.3">
      <c r="A7" s="6" t="s">
        <v>11</v>
      </c>
      <c r="B7" s="2">
        <v>0</v>
      </c>
      <c r="C7" s="2">
        <v>0</v>
      </c>
      <c r="D7" s="2">
        <v>0</v>
      </c>
      <c r="E7" s="2">
        <v>0</v>
      </c>
      <c r="F7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7">
        <v>0</v>
      </c>
      <c r="M7" s="7">
        <v>1</v>
      </c>
      <c r="N7" s="7">
        <v>0</v>
      </c>
      <c r="O7" s="7">
        <v>0</v>
      </c>
      <c r="P7" s="7">
        <v>0</v>
      </c>
      <c r="Q7" s="7">
        <v>0</v>
      </c>
      <c r="R7" s="3">
        <v>0</v>
      </c>
      <c r="S7" s="7">
        <v>0</v>
      </c>
      <c r="T7" s="7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8">
        <v>59500</v>
      </c>
      <c r="DM7" s="8">
        <v>60600</v>
      </c>
      <c r="DN7" s="8"/>
      <c r="DO7" s="8"/>
      <c r="DP7" s="8"/>
      <c r="DQ7" s="8"/>
      <c r="DR7" s="8"/>
      <c r="DS7" s="8"/>
      <c r="DT7" s="8"/>
      <c r="DU7" s="8"/>
      <c r="DV7" s="9" t="s">
        <v>12</v>
      </c>
    </row>
    <row r="8" spans="1:127" s="2" customFormat="1" ht="15.75" thickBot="1" x14ac:dyDescent="0.3">
      <c r="A8" s="20" t="s">
        <v>13</v>
      </c>
      <c r="B8" s="22">
        <f t="shared" ref="B8:W8" si="0">SUM(B2:B7)</f>
        <v>142</v>
      </c>
      <c r="C8" s="22">
        <f t="shared" si="0"/>
        <v>219</v>
      </c>
      <c r="D8" s="22">
        <f t="shared" si="0"/>
        <v>521</v>
      </c>
      <c r="E8" s="22">
        <f t="shared" si="0"/>
        <v>113</v>
      </c>
      <c r="F8" s="22">
        <f t="shared" si="0"/>
        <v>220</v>
      </c>
      <c r="G8" s="22">
        <f t="shared" si="0"/>
        <v>442</v>
      </c>
      <c r="H8" s="22">
        <f t="shared" si="0"/>
        <v>276</v>
      </c>
      <c r="I8" s="22">
        <f t="shared" si="0"/>
        <v>154</v>
      </c>
      <c r="J8" s="22">
        <f t="shared" si="0"/>
        <v>528</v>
      </c>
      <c r="K8" s="22">
        <f t="shared" si="0"/>
        <v>908</v>
      </c>
      <c r="L8" s="22">
        <f t="shared" si="0"/>
        <v>501</v>
      </c>
      <c r="M8" s="22">
        <f t="shared" si="0"/>
        <v>761</v>
      </c>
      <c r="N8" s="22">
        <f t="shared" si="0"/>
        <v>201</v>
      </c>
      <c r="O8" s="22">
        <f t="shared" si="0"/>
        <v>508</v>
      </c>
      <c r="P8" s="22">
        <f t="shared" si="0"/>
        <v>276</v>
      </c>
      <c r="Q8" s="22">
        <f t="shared" si="0"/>
        <v>149</v>
      </c>
      <c r="R8" s="22">
        <f t="shared" si="0"/>
        <v>190</v>
      </c>
      <c r="S8" s="22">
        <f t="shared" si="0"/>
        <v>685</v>
      </c>
      <c r="T8" s="22">
        <f>SUM(T2:T7)</f>
        <v>981</v>
      </c>
      <c r="U8" s="22">
        <f t="shared" si="0"/>
        <v>685</v>
      </c>
      <c r="V8" s="22">
        <f t="shared" si="0"/>
        <v>389</v>
      </c>
      <c r="W8" s="22">
        <f t="shared" si="0"/>
        <v>457</v>
      </c>
      <c r="X8" s="22">
        <f t="shared" ref="X8:Y8" si="1">SUM(X2:X7)</f>
        <v>219</v>
      </c>
      <c r="Y8" s="22">
        <f t="shared" si="1"/>
        <v>533</v>
      </c>
      <c r="Z8" s="22">
        <f t="shared" ref="Z8:AA8" si="2">SUM(Z2:Z7)</f>
        <v>1129</v>
      </c>
      <c r="AA8" s="22">
        <f t="shared" si="2"/>
        <v>1129</v>
      </c>
      <c r="AB8" s="22">
        <f t="shared" ref="AB8:AC8" si="3">SUM(AB2:AB7)</f>
        <v>441</v>
      </c>
      <c r="AC8" s="22">
        <f t="shared" si="3"/>
        <v>734</v>
      </c>
      <c r="AD8" s="22">
        <f t="shared" ref="AD8" si="4">SUM(AD2:AD7)</f>
        <v>587</v>
      </c>
      <c r="AE8" s="22">
        <f t="shared" ref="AE8:AG8" si="5">SUM(AE2:AE7)</f>
        <v>799</v>
      </c>
      <c r="AF8" s="22">
        <f t="shared" ref="AF8" si="6">SUM(AF2:AF7)</f>
        <v>351</v>
      </c>
      <c r="AG8" s="22">
        <f t="shared" si="5"/>
        <v>398</v>
      </c>
      <c r="AH8" s="22">
        <f t="shared" ref="AH8:AI8" si="7">SUM(AH2:AH7)</f>
        <v>116</v>
      </c>
      <c r="AI8" s="22">
        <f t="shared" si="7"/>
        <v>882</v>
      </c>
      <c r="AJ8" s="22">
        <f t="shared" ref="AJ8" si="8">SUM(AJ2:AJ7)</f>
        <v>334</v>
      </c>
      <c r="AK8" s="22">
        <f t="shared" ref="AK8:AL8" si="9">SUM(AK2:AK7)</f>
        <v>12</v>
      </c>
      <c r="AL8" s="22">
        <f t="shared" si="9"/>
        <v>242</v>
      </c>
      <c r="AM8" s="22">
        <f t="shared" ref="AM8:AN8" si="10">SUM(AM2:AM7)</f>
        <v>347</v>
      </c>
      <c r="AN8" s="22">
        <f t="shared" si="10"/>
        <v>43</v>
      </c>
      <c r="AO8" s="22">
        <f t="shared" ref="AO8:AP8" si="11">SUM(AO2:AO7)</f>
        <v>377</v>
      </c>
      <c r="AP8" s="22">
        <f t="shared" si="11"/>
        <v>43</v>
      </c>
      <c r="AQ8" s="22">
        <f t="shared" ref="AQ8" si="12">SUM(AQ2:AQ7)</f>
        <v>194</v>
      </c>
      <c r="AR8" s="22">
        <f t="shared" ref="AR8" si="13">SUM(AR2:AR7)</f>
        <v>124</v>
      </c>
      <c r="AS8" s="22">
        <f t="shared" ref="AS8" si="14">SUM(AS2:AS7)</f>
        <v>86</v>
      </c>
      <c r="AT8" s="22">
        <f t="shared" ref="AT8:AU8" si="15">SUM(AT2:AT7)</f>
        <v>113</v>
      </c>
      <c r="AU8" s="22">
        <f t="shared" si="15"/>
        <v>255</v>
      </c>
      <c r="AV8" s="22">
        <f t="shared" ref="AV8:BD8" si="16">SUM(AV2:AV7)</f>
        <v>40</v>
      </c>
      <c r="AW8" s="22">
        <f t="shared" si="16"/>
        <v>96</v>
      </c>
      <c r="AX8" s="22">
        <f t="shared" si="16"/>
        <v>78</v>
      </c>
      <c r="AY8" s="22">
        <f t="shared" si="16"/>
        <v>124</v>
      </c>
      <c r="AZ8" s="22">
        <f t="shared" si="16"/>
        <v>110</v>
      </c>
      <c r="BA8" s="22">
        <f t="shared" si="16"/>
        <v>107</v>
      </c>
      <c r="BB8" s="22">
        <f t="shared" si="16"/>
        <v>147</v>
      </c>
      <c r="BC8" s="22">
        <f t="shared" si="16"/>
        <v>146</v>
      </c>
      <c r="BD8" s="22">
        <f t="shared" si="16"/>
        <v>269</v>
      </c>
      <c r="BE8" s="22">
        <f t="shared" ref="BE8:BF8" si="17">SUM(BE2:BE7)</f>
        <v>166</v>
      </c>
      <c r="BF8" s="22">
        <f t="shared" si="17"/>
        <v>173</v>
      </c>
      <c r="BG8" s="22">
        <f t="shared" ref="BG8:CM8" si="18">SUM(BG2:BG7)</f>
        <v>152</v>
      </c>
      <c r="BH8" s="22">
        <f t="shared" si="18"/>
        <v>87</v>
      </c>
      <c r="BI8" s="22">
        <f t="shared" si="18"/>
        <v>97</v>
      </c>
      <c r="BJ8" s="22">
        <f t="shared" si="18"/>
        <v>51</v>
      </c>
      <c r="BK8" s="22">
        <f t="shared" si="18"/>
        <v>72</v>
      </c>
      <c r="BL8" s="22">
        <f t="shared" si="18"/>
        <v>433</v>
      </c>
      <c r="BM8" s="22">
        <f t="shared" si="18"/>
        <v>600</v>
      </c>
      <c r="BN8" s="22">
        <f t="shared" si="18"/>
        <v>445</v>
      </c>
      <c r="BO8" s="22">
        <f t="shared" si="18"/>
        <v>961</v>
      </c>
      <c r="BP8" s="22">
        <f t="shared" si="18"/>
        <v>796</v>
      </c>
      <c r="BQ8" s="22">
        <f t="shared" si="18"/>
        <v>606</v>
      </c>
      <c r="BR8" s="22">
        <f t="shared" si="18"/>
        <v>916</v>
      </c>
      <c r="BS8" s="22">
        <f t="shared" si="18"/>
        <v>433</v>
      </c>
      <c r="BT8" s="22">
        <f t="shared" si="18"/>
        <v>571</v>
      </c>
      <c r="BU8" s="22">
        <f t="shared" si="18"/>
        <v>917</v>
      </c>
      <c r="BV8" s="22">
        <f t="shared" si="18"/>
        <v>1063</v>
      </c>
      <c r="BW8" s="22">
        <f t="shared" si="18"/>
        <v>15</v>
      </c>
      <c r="BX8" s="22">
        <f t="shared" si="18"/>
        <v>69</v>
      </c>
      <c r="BY8" s="22">
        <f t="shared" si="18"/>
        <v>118</v>
      </c>
      <c r="BZ8" s="22">
        <f t="shared" si="18"/>
        <v>77</v>
      </c>
      <c r="CA8" s="22">
        <f t="shared" si="18"/>
        <v>18</v>
      </c>
      <c r="CB8" s="22">
        <f t="shared" si="18"/>
        <v>0</v>
      </c>
      <c r="CC8" s="22">
        <f t="shared" si="18"/>
        <v>83</v>
      </c>
      <c r="CD8" s="22">
        <f t="shared" si="18"/>
        <v>123</v>
      </c>
      <c r="CE8" s="22">
        <f t="shared" si="18"/>
        <v>330</v>
      </c>
      <c r="CF8" s="22">
        <f t="shared" si="18"/>
        <v>123</v>
      </c>
      <c r="CG8" s="22">
        <f t="shared" si="18"/>
        <v>31</v>
      </c>
      <c r="CH8" s="22">
        <f t="shared" si="18"/>
        <v>307</v>
      </c>
      <c r="CI8" s="22">
        <f t="shared" si="18"/>
        <v>859</v>
      </c>
      <c r="CJ8" s="22">
        <f t="shared" si="18"/>
        <v>662</v>
      </c>
      <c r="CK8" s="22">
        <f t="shared" si="18"/>
        <v>847</v>
      </c>
      <c r="CL8" s="22">
        <f t="shared" si="18"/>
        <v>1123</v>
      </c>
      <c r="CM8" s="22">
        <f t="shared" si="18"/>
        <v>970</v>
      </c>
      <c r="CN8" s="22">
        <f t="shared" ref="CN8:CT8" si="19">SUM(CN2:CN7)</f>
        <v>549</v>
      </c>
      <c r="CO8" s="22">
        <f t="shared" si="19"/>
        <v>335</v>
      </c>
      <c r="CP8" s="22">
        <f t="shared" si="19"/>
        <v>409</v>
      </c>
      <c r="CQ8" s="22">
        <f t="shared" si="19"/>
        <v>349</v>
      </c>
      <c r="CR8" s="22">
        <f t="shared" si="19"/>
        <v>374</v>
      </c>
      <c r="CS8" s="22">
        <f t="shared" si="19"/>
        <v>594</v>
      </c>
      <c r="CT8" s="22">
        <f t="shared" si="19"/>
        <v>334</v>
      </c>
      <c r="CU8" s="22">
        <f t="shared" ref="CU8:CV8" si="20">SUM(CU2:CU7)</f>
        <v>442</v>
      </c>
      <c r="CV8" s="22">
        <f t="shared" si="20"/>
        <v>352</v>
      </c>
      <c r="CW8" s="22">
        <f t="shared" ref="CW8:CX8" si="21">SUM(CW2:CW7)</f>
        <v>464</v>
      </c>
      <c r="CX8" s="22">
        <f t="shared" si="21"/>
        <v>761</v>
      </c>
      <c r="CY8" s="22">
        <f t="shared" ref="CY8:CZ8" si="22">SUM(CY2:CY7)</f>
        <v>690</v>
      </c>
      <c r="CZ8" s="22">
        <f t="shared" si="22"/>
        <v>455</v>
      </c>
      <c r="DA8" s="22">
        <f t="shared" ref="DA8:DB8" si="23">SUM(DA2:DA7)</f>
        <v>416</v>
      </c>
      <c r="DB8" s="22">
        <f t="shared" si="23"/>
        <v>899</v>
      </c>
      <c r="DC8" s="22">
        <f t="shared" ref="DC8:DD8" si="24">SUM(DC2:DC7)</f>
        <v>352</v>
      </c>
      <c r="DD8" s="22">
        <f t="shared" si="24"/>
        <v>431</v>
      </c>
      <c r="DE8" s="22">
        <f t="shared" ref="DE8:DF8" si="25">SUM(DE2:DE7)</f>
        <v>759</v>
      </c>
      <c r="DF8" s="22">
        <f t="shared" si="25"/>
        <v>607</v>
      </c>
      <c r="DG8" s="22">
        <f t="shared" ref="DG8:DH8" si="26">SUM(DG2:DG7)</f>
        <v>497</v>
      </c>
      <c r="DH8" s="22">
        <f t="shared" si="26"/>
        <v>738</v>
      </c>
      <c r="DI8" s="22">
        <f t="shared" ref="DI8:DJ8" si="27">SUM(DI2:DI7)</f>
        <v>757</v>
      </c>
      <c r="DJ8" s="22">
        <f t="shared" si="27"/>
        <v>729</v>
      </c>
      <c r="DK8" s="22">
        <f t="shared" ref="DK8" si="28">SUM(DK2:DK7)</f>
        <v>584</v>
      </c>
      <c r="DL8" s="24"/>
      <c r="DM8" s="23"/>
      <c r="DN8" s="23"/>
      <c r="DO8" s="23"/>
      <c r="DP8" s="23"/>
      <c r="DQ8" s="23"/>
      <c r="DR8" s="23"/>
      <c r="DS8" s="23"/>
      <c r="DT8" s="23"/>
      <c r="DU8" s="23"/>
    </row>
    <row r="9" spans="1:127" s="2" customFormat="1" x14ac:dyDescent="0.25">
      <c r="A9" s="13" t="s">
        <v>14</v>
      </c>
      <c r="B9" s="14">
        <v>42430</v>
      </c>
      <c r="C9" s="14">
        <v>42461</v>
      </c>
      <c r="D9" s="14">
        <v>42491</v>
      </c>
      <c r="E9" s="14">
        <v>42522</v>
      </c>
      <c r="F9" s="14">
        <v>42552</v>
      </c>
      <c r="G9" s="14">
        <v>42583</v>
      </c>
      <c r="H9" s="14">
        <v>42614</v>
      </c>
      <c r="I9" s="14">
        <v>42644</v>
      </c>
      <c r="J9" s="14">
        <v>42675</v>
      </c>
      <c r="K9" s="14">
        <v>42705</v>
      </c>
      <c r="L9" s="14">
        <v>42736</v>
      </c>
      <c r="M9" s="14">
        <v>42767</v>
      </c>
      <c r="N9" s="14">
        <v>42795</v>
      </c>
      <c r="O9" s="14">
        <v>42826</v>
      </c>
      <c r="P9" s="14">
        <v>42856</v>
      </c>
      <c r="Q9" s="14">
        <v>42887</v>
      </c>
      <c r="R9" s="14">
        <v>42917</v>
      </c>
      <c r="S9" s="14">
        <v>42948</v>
      </c>
      <c r="T9" s="14">
        <v>42979</v>
      </c>
      <c r="U9" s="14">
        <v>43009</v>
      </c>
      <c r="V9" s="14">
        <v>43040</v>
      </c>
      <c r="W9" s="14">
        <v>43070</v>
      </c>
      <c r="X9" s="14">
        <v>43101</v>
      </c>
      <c r="Y9" s="14">
        <v>43132</v>
      </c>
      <c r="Z9" s="14">
        <v>43160</v>
      </c>
      <c r="AA9" s="14">
        <v>43191</v>
      </c>
      <c r="AB9" s="14">
        <v>43221</v>
      </c>
      <c r="AC9" s="14">
        <v>43696</v>
      </c>
      <c r="AD9" s="14">
        <v>43727</v>
      </c>
      <c r="AE9" s="17">
        <v>43739</v>
      </c>
      <c r="AF9" s="17">
        <v>43770</v>
      </c>
      <c r="AG9" s="17">
        <v>43800</v>
      </c>
      <c r="AH9" s="17">
        <v>43850</v>
      </c>
      <c r="AI9" s="17">
        <v>43881</v>
      </c>
      <c r="AJ9" s="17">
        <v>43910</v>
      </c>
      <c r="AK9" s="17">
        <v>43941</v>
      </c>
      <c r="AL9" s="17">
        <v>43971</v>
      </c>
      <c r="AM9" s="17">
        <v>44002</v>
      </c>
      <c r="AN9" s="17">
        <v>44032</v>
      </c>
      <c r="AO9" s="17">
        <v>44063</v>
      </c>
      <c r="AP9" s="17">
        <v>44095</v>
      </c>
      <c r="AQ9" s="17">
        <v>44125</v>
      </c>
      <c r="AR9" s="17">
        <v>44156</v>
      </c>
      <c r="AS9" s="17">
        <v>44186</v>
      </c>
      <c r="AT9" s="17">
        <v>44197</v>
      </c>
      <c r="AU9" s="17">
        <v>44229</v>
      </c>
      <c r="AV9" s="17">
        <v>44276</v>
      </c>
      <c r="AW9" s="17">
        <v>44307</v>
      </c>
      <c r="AX9" s="17">
        <v>44337</v>
      </c>
      <c r="AY9" s="17">
        <v>44368</v>
      </c>
      <c r="AZ9" s="17">
        <v>44398</v>
      </c>
      <c r="BA9" s="17">
        <v>44429</v>
      </c>
      <c r="BB9" s="17">
        <v>44460</v>
      </c>
      <c r="BC9" s="17">
        <v>44490</v>
      </c>
      <c r="BD9" s="17">
        <v>44521</v>
      </c>
      <c r="BE9" s="17">
        <v>44551</v>
      </c>
      <c r="BF9" s="17">
        <v>44583</v>
      </c>
      <c r="BG9" s="17">
        <v>44614</v>
      </c>
      <c r="BH9" s="17">
        <v>44642</v>
      </c>
      <c r="BI9" s="17">
        <v>44673</v>
      </c>
      <c r="BJ9" s="17">
        <v>44703</v>
      </c>
      <c r="BK9" s="17">
        <v>44734</v>
      </c>
      <c r="BL9" s="17">
        <v>44764</v>
      </c>
      <c r="BM9" s="17">
        <v>44795</v>
      </c>
      <c r="BN9" s="17">
        <v>44826</v>
      </c>
      <c r="BO9" s="17">
        <v>44856</v>
      </c>
      <c r="BP9" s="17">
        <v>44887</v>
      </c>
      <c r="BQ9" s="17">
        <v>44917</v>
      </c>
      <c r="BR9" s="17">
        <v>44948</v>
      </c>
      <c r="BS9" s="14">
        <v>44980</v>
      </c>
      <c r="BT9" s="14">
        <v>45008</v>
      </c>
      <c r="BU9" s="14">
        <v>45039</v>
      </c>
      <c r="BV9" s="14">
        <v>45069</v>
      </c>
      <c r="BW9" s="17">
        <v>45100</v>
      </c>
      <c r="BX9" s="14">
        <v>45130</v>
      </c>
      <c r="BY9" s="14">
        <v>45161</v>
      </c>
      <c r="BZ9" s="14">
        <v>45192</v>
      </c>
      <c r="CA9" s="14">
        <v>45222</v>
      </c>
      <c r="CB9" s="14">
        <v>45253</v>
      </c>
      <c r="CC9" s="14">
        <v>45283</v>
      </c>
      <c r="CD9" s="14">
        <v>45315</v>
      </c>
      <c r="CE9" s="14">
        <v>45346</v>
      </c>
      <c r="CF9" s="14">
        <v>45375</v>
      </c>
      <c r="CG9" s="14">
        <v>45406</v>
      </c>
      <c r="CH9" s="14">
        <v>45436</v>
      </c>
      <c r="CI9" s="14">
        <v>45467</v>
      </c>
      <c r="CJ9" s="14">
        <v>45497</v>
      </c>
      <c r="CK9" s="14">
        <v>45528</v>
      </c>
      <c r="CL9" s="14">
        <v>45559</v>
      </c>
      <c r="CM9" s="14">
        <v>45589</v>
      </c>
      <c r="CN9" s="14">
        <v>45621</v>
      </c>
      <c r="CO9" s="14">
        <v>45652</v>
      </c>
      <c r="CP9" s="14">
        <v>45684</v>
      </c>
      <c r="CQ9" s="14">
        <v>45716</v>
      </c>
      <c r="CR9" s="14">
        <v>45717</v>
      </c>
      <c r="CS9" s="14">
        <v>45749</v>
      </c>
      <c r="CT9" s="14">
        <v>45780</v>
      </c>
      <c r="CU9" s="14">
        <v>45812</v>
      </c>
      <c r="CV9" s="14">
        <v>45843</v>
      </c>
      <c r="CW9" s="14">
        <v>45875</v>
      </c>
      <c r="CX9" s="14">
        <v>45907</v>
      </c>
      <c r="CY9" s="14">
        <v>45938</v>
      </c>
      <c r="CZ9" s="14">
        <v>45970</v>
      </c>
      <c r="DA9" s="14">
        <v>46001</v>
      </c>
      <c r="DB9" s="14">
        <v>46033</v>
      </c>
      <c r="DC9" s="14">
        <v>46065</v>
      </c>
      <c r="DD9" s="14">
        <v>46094</v>
      </c>
      <c r="DE9" s="14">
        <v>46126</v>
      </c>
      <c r="DF9" s="14">
        <v>46157</v>
      </c>
      <c r="DG9" s="14">
        <v>46189</v>
      </c>
      <c r="DH9" s="14">
        <v>46220</v>
      </c>
      <c r="DI9" s="14">
        <v>46252</v>
      </c>
      <c r="DJ9" s="14">
        <v>46284</v>
      </c>
      <c r="DK9" s="14">
        <v>46296</v>
      </c>
      <c r="DM9" s="18"/>
      <c r="DN9" s="18"/>
      <c r="DO9" s="18"/>
      <c r="DP9" s="18"/>
      <c r="DQ9" s="18"/>
      <c r="DR9" s="18"/>
      <c r="DS9" s="18"/>
      <c r="DT9" s="18"/>
      <c r="DU9" s="18"/>
      <c r="DV9" s="19"/>
      <c r="DW9" s="19"/>
    </row>
    <row r="10" spans="1:127" x14ac:dyDescent="0.25">
      <c r="A10" s="1" t="s">
        <v>5</v>
      </c>
      <c r="B10" s="2">
        <f>Metrics!B2</f>
        <v>95</v>
      </c>
      <c r="C10" s="2">
        <f>B10+Metrics!C2</f>
        <v>216</v>
      </c>
      <c r="D10" s="2">
        <f>C10+Metrics!D2</f>
        <v>360</v>
      </c>
      <c r="E10" s="2">
        <f>D10+Metrics!E2</f>
        <v>411</v>
      </c>
      <c r="F10" s="2">
        <f>E10+Metrics!F2</f>
        <v>488</v>
      </c>
      <c r="G10" s="2">
        <f>F10+Metrics!G2</f>
        <v>745</v>
      </c>
      <c r="H10" s="2">
        <f>G10+Metrics!H2</f>
        <v>864</v>
      </c>
      <c r="I10" s="2">
        <f>H10+Metrics!I2</f>
        <v>921</v>
      </c>
      <c r="J10" s="2">
        <f>I10+Metrics!J2</f>
        <v>1302</v>
      </c>
      <c r="K10" s="2">
        <f>J10+Metrics!K2</f>
        <v>1780</v>
      </c>
      <c r="L10" s="2">
        <f>K10+Metrics!L2</f>
        <v>2138</v>
      </c>
      <c r="M10" s="2">
        <f>L10+Metrics!M2</f>
        <v>2584</v>
      </c>
      <c r="N10" s="2">
        <f>M10+Metrics!N2</f>
        <v>2715</v>
      </c>
      <c r="O10" s="2">
        <f>N10+Metrics!O2</f>
        <v>3149</v>
      </c>
      <c r="P10" s="2">
        <f>O10+Metrics!P2</f>
        <v>3218</v>
      </c>
      <c r="Q10" s="2">
        <f>IF(Q2="","",P10+Metrics!Q2)</f>
        <v>3287</v>
      </c>
      <c r="R10" s="2">
        <f>IF(R2="","",Q10+Metrics!R2)</f>
        <v>3332</v>
      </c>
      <c r="S10" s="2">
        <f>IF(S2="","",R10+Metrics!S2)</f>
        <v>3522</v>
      </c>
      <c r="T10" s="2">
        <f>IF(T2="","",S10+Metrics!T2)</f>
        <v>3754</v>
      </c>
      <c r="U10" s="2">
        <f>IF(U2="","",T10+Metrics!U2)</f>
        <v>3967</v>
      </c>
      <c r="V10" s="2">
        <f>IF(V2="","",U10+Metrics!V2)</f>
        <v>4188</v>
      </c>
      <c r="W10" s="2">
        <f>IF(W2="","",V10+Metrics!W2)</f>
        <v>4356</v>
      </c>
      <c r="X10" s="2">
        <f>IF(X2="","",W10+Metrics!X2)</f>
        <v>4400</v>
      </c>
      <c r="Y10" s="2">
        <f>IF(Y2="","",X10+Metrics!Y2)</f>
        <v>4669</v>
      </c>
      <c r="Z10" s="2">
        <f>IF(Z2="","",Y10+Metrics!Z2)</f>
        <v>5063</v>
      </c>
      <c r="AA10" s="2">
        <f>IF(AA2="","",Z10+Metrics!AA2)</f>
        <v>5457</v>
      </c>
      <c r="AB10" s="2">
        <f>IF(AB2="","",AA10+Metrics!AB2)</f>
        <v>5778</v>
      </c>
      <c r="AC10" s="2">
        <f>IF(AC2="","",AB10+Metrics!AC2)</f>
        <v>6139</v>
      </c>
      <c r="AD10" s="2">
        <f>IF(AD2="","",AC10+Metrics!AD2)</f>
        <v>6400</v>
      </c>
      <c r="AE10" s="2">
        <f>IF(AE2="","",AD10+Metrics!AE2)</f>
        <v>6822</v>
      </c>
      <c r="AF10" s="2">
        <f>IF(AF2="","",AE10+Metrics!AF2)</f>
        <v>6926</v>
      </c>
      <c r="AG10" s="2">
        <f>IF(AG2="","",AF10+Metrics!AG2)</f>
        <v>7112</v>
      </c>
      <c r="AH10" s="2">
        <f>IF(AH2="","",AG10+Metrics!AH2)</f>
        <v>7156</v>
      </c>
      <c r="AI10" s="2">
        <f>IF(AI2="","",AH10+Metrics!AI2)</f>
        <v>7568</v>
      </c>
      <c r="AJ10" s="2">
        <f>IF(AJ2="","",AI10+Metrics!AJ2)</f>
        <v>7681</v>
      </c>
      <c r="AK10" s="2">
        <f>IF(AK2="","",AJ10+Metrics!AK2)</f>
        <v>7682</v>
      </c>
      <c r="AL10" s="2">
        <f>IF(AL2="","",AK10+Metrics!AL2)</f>
        <v>7850</v>
      </c>
      <c r="AM10" s="2">
        <f>IF(AM2="","",AL10+Metrics!AM2)</f>
        <v>8188</v>
      </c>
      <c r="AN10" s="2">
        <f>IF(AN2="","",AM10+Metrics!AN2)</f>
        <v>8207</v>
      </c>
      <c r="AO10" s="2">
        <f>IF(AO2="","",AN10+Metrics!AO2)</f>
        <v>8209</v>
      </c>
      <c r="AP10" s="2">
        <f>IF(AP2="","",AO10+Metrics!AP2)</f>
        <v>8251</v>
      </c>
      <c r="AQ10" s="2">
        <f>IF(AQ2="","",AP10+Metrics!AQ2)</f>
        <v>8402</v>
      </c>
      <c r="AR10" s="2">
        <f>IF(AR2="","",AQ10+Metrics!AR2)</f>
        <v>8514</v>
      </c>
      <c r="AS10" s="2">
        <f>IF(AS2="","",AR10+Metrics!AS2)</f>
        <v>8583</v>
      </c>
      <c r="AT10" s="2">
        <f>IF(AT2="","",AS10+Metrics!AT2)</f>
        <v>8679</v>
      </c>
      <c r="AU10" s="2">
        <f>IF(AU2="","",AT10+Metrics!AU2)</f>
        <v>8896</v>
      </c>
      <c r="AV10" s="2">
        <f>IF(AV2="","",AU10+Metrics!AV2)</f>
        <v>8911</v>
      </c>
      <c r="AW10" s="2">
        <f>IF(AW2="","",AV10+Metrics!AW2)</f>
        <v>8925</v>
      </c>
      <c r="AX10" s="2">
        <f>IF(AX2="","",AW10+Metrics!AX2)</f>
        <v>8925</v>
      </c>
      <c r="AY10" s="2">
        <f>IF(AY2="","",AX10+Metrics!AY2)</f>
        <v>8950</v>
      </c>
      <c r="AZ10" s="2">
        <f>IF(AZ2="","",AY10+Metrics!AZ2)</f>
        <v>8972</v>
      </c>
      <c r="BA10" s="2">
        <f>IF(BA2="","",AZ10+Metrics!BA2)</f>
        <v>8999</v>
      </c>
      <c r="BB10" s="2">
        <f>IF(BB2="","",BA10+Metrics!BB2)</f>
        <v>9054</v>
      </c>
      <c r="BC10" s="2">
        <f>IF(BC2="","",BB10+Metrics!BC2)</f>
        <v>9100</v>
      </c>
      <c r="BD10" s="2">
        <f>IF(BD2="","",BC10+Metrics!BD2)</f>
        <v>9149</v>
      </c>
      <c r="BE10" s="2">
        <f>IF(BE2="","",BD10+Metrics!BE2)</f>
        <v>9185</v>
      </c>
      <c r="BF10" s="2">
        <f>IF(BF2="","",BE10+Metrics!BF2)</f>
        <v>9300</v>
      </c>
      <c r="BG10" s="2">
        <f>IF(BG2="","",BF10+Metrics!BG2)</f>
        <v>9305</v>
      </c>
      <c r="BH10" s="2">
        <f>IF(BH2="","",BG10+Metrics!BH2)</f>
        <v>9308</v>
      </c>
      <c r="BI10" s="2">
        <f>IF(BI2="","",BH10+Metrics!BI2)</f>
        <v>9317</v>
      </c>
      <c r="BJ10" s="2">
        <f>IF(BJ2="","",BI10+Metrics!BJ2)</f>
        <v>9318</v>
      </c>
      <c r="BK10" s="2">
        <f>IF(BK2="","",BJ10+Metrics!BK2)</f>
        <v>9320</v>
      </c>
      <c r="BL10" s="2">
        <f>IF(BL2="","",BK10+Metrics!BL2)</f>
        <v>9369</v>
      </c>
      <c r="BM10" s="2">
        <f>IF(BM2="","",BL10+Metrics!BM2)</f>
        <v>9471</v>
      </c>
      <c r="BN10" s="2">
        <f>IF(BN2="","",BM10+Metrics!BN2)</f>
        <v>9758</v>
      </c>
      <c r="BO10" s="2">
        <f>IF(BO2="","",BN10+Metrics!BO2)</f>
        <v>10444</v>
      </c>
      <c r="BP10" s="2">
        <f>IF(BP2="","",BO10+Metrics!BP2)</f>
        <v>11136</v>
      </c>
      <c r="BQ10" s="2">
        <f>IF(BQ2="","",BP10+Metrics!BQ2)</f>
        <v>11741</v>
      </c>
      <c r="BR10" s="2">
        <f>IF(BR2="","",BQ10+Metrics!BR2)</f>
        <v>12655</v>
      </c>
      <c r="BS10" s="2">
        <f>IF(BS2="","",BR10+Metrics!BS2)</f>
        <v>13076</v>
      </c>
      <c r="BT10" s="2">
        <f>IF(BT2="","",BS10+Metrics!BT2)</f>
        <v>13643</v>
      </c>
      <c r="BU10" s="2">
        <f>IF(BU2="","",BT10+Metrics!BU2)</f>
        <v>14391</v>
      </c>
      <c r="BV10" s="2">
        <f>IF(BV2="","",BU10+Metrics!BV2)</f>
        <v>15417</v>
      </c>
      <c r="BW10" s="2">
        <f>IF(BW2="","",BV10+Metrics!BW2)</f>
        <v>15420</v>
      </c>
      <c r="BX10" s="2">
        <f>IF(BX2="","",BW10+Metrics!BX2)</f>
        <v>15453</v>
      </c>
      <c r="BY10" s="2">
        <f>IF(BY2="","",BX10+Metrics!BY2)</f>
        <v>15462</v>
      </c>
      <c r="BZ10" s="2">
        <f>IF(BZ2="","",BY10+Metrics!BZ2)</f>
        <v>15489</v>
      </c>
      <c r="CA10" s="2">
        <f>IF(CA2="","",BZ10+Metrics!CA2)</f>
        <v>15489</v>
      </c>
      <c r="CB10" s="2">
        <f>IF(CB2="","",CA10+Metrics!CB2)</f>
        <v>15489</v>
      </c>
      <c r="CC10" s="2">
        <f>IF(CC2="","",CB10+Metrics!CC2)</f>
        <v>15505</v>
      </c>
      <c r="CD10" s="2">
        <f>IF(CD2="","",CC10+Metrics!CD2)</f>
        <v>15533</v>
      </c>
      <c r="CE10" s="2">
        <f>IF(CE2="","",CD10+Metrics!CE2)</f>
        <v>15537</v>
      </c>
      <c r="CF10" s="2">
        <f>IF(CF2="","",CE10+Metrics!CF2)</f>
        <v>15541</v>
      </c>
      <c r="CG10" s="2">
        <f>IF(CG2="","",CF10+Metrics!CG2)</f>
        <v>15543</v>
      </c>
      <c r="CH10" s="2">
        <f>IF(CH2="","",CG10+Metrics!CH2)</f>
        <v>15755</v>
      </c>
      <c r="CI10" s="2">
        <f>IF(CI2="","",CH10+Metrics!CI2)</f>
        <v>16266</v>
      </c>
      <c r="CJ10" s="2">
        <f>IF(CJ2="","",CI10+Metrics!CJ2)</f>
        <v>16732</v>
      </c>
      <c r="CK10" s="2">
        <f>IF(CK2="","",CJ10+Metrics!CK2)</f>
        <v>17211</v>
      </c>
      <c r="CL10" s="2">
        <f>IF(CL2="","",CK10+Metrics!CL2)</f>
        <v>18004</v>
      </c>
      <c r="CM10" s="2">
        <f>IF(CM2="","",CL10+Metrics!CM2)</f>
        <v>18758</v>
      </c>
      <c r="CN10" s="2">
        <f>IF(CN2="","",CM10+Metrics!CN2)</f>
        <v>19114</v>
      </c>
      <c r="CO10" s="2">
        <f>IF(CO2="","",CN10+Metrics!CO2)</f>
        <v>19336</v>
      </c>
      <c r="CP10" s="2">
        <f>IF(CP2="","",CO10+Metrics!CP2)</f>
        <v>19581</v>
      </c>
      <c r="CQ10" s="2">
        <f>IF(CQ2="","",CP10+Metrics!CQ2)</f>
        <v>19856</v>
      </c>
      <c r="CR10" s="2">
        <f>IF(CR2="","",CQ10+Metrics!CR2)</f>
        <v>20123</v>
      </c>
      <c r="CS10" s="2">
        <f>IF(CS2="","",CR10+Metrics!CS2)</f>
        <v>20528</v>
      </c>
      <c r="CT10" s="2">
        <f>IF(CT2="","",CS10+Metrics!CT2)</f>
        <v>20757</v>
      </c>
      <c r="CU10" s="2">
        <f>IF(CU2="","",CT10+Metrics!CU2)</f>
        <v>21029</v>
      </c>
      <c r="CV10" s="2">
        <f>IF(CV2="","",CU10+Metrics!CV2)</f>
        <v>21250</v>
      </c>
      <c r="CW10" s="2">
        <f>IF(CW2="","",CV10+Metrics!CW2)</f>
        <v>21506</v>
      </c>
      <c r="CX10" s="2">
        <f>IF(CX2="","",CW10+Metrics!CX2)</f>
        <v>21868</v>
      </c>
      <c r="CY10" s="2">
        <f>IF(CY2="","",CX10+Metrics!CY2)</f>
        <v>22176</v>
      </c>
      <c r="CZ10" s="2">
        <f>IF(CZ2="","",CY10+Metrics!CZ2)</f>
        <v>22340</v>
      </c>
      <c r="DA10" s="2">
        <f>IF(DA2="","",CZ10+Metrics!DA2)</f>
        <v>22372</v>
      </c>
      <c r="DB10" s="2">
        <f>IF(DB2="","",DA10+Metrics!DB2)</f>
        <v>22833</v>
      </c>
      <c r="DC10" s="2">
        <f>IF(DC2="","",DB10+Metrics!DC2)</f>
        <v>23007</v>
      </c>
      <c r="DD10" s="2">
        <f>IF(DD2="","",DC10+Metrics!DD2)</f>
        <v>23152</v>
      </c>
      <c r="DE10" s="2">
        <f>IF(DE2="","",DD10+Metrics!DE2)</f>
        <v>23598</v>
      </c>
      <c r="DF10" s="2">
        <f>IF(DF2="","",DE10+Metrics!DF2)</f>
        <v>23924</v>
      </c>
      <c r="DG10" s="2">
        <f>IF(DG2="","",DF10+Metrics!DG2)</f>
        <v>24204</v>
      </c>
      <c r="DH10" s="2">
        <f>IF(DH2="","",DG10+Metrics!DH2)</f>
        <v>24677</v>
      </c>
      <c r="DI10" s="2">
        <f>IF(DI2="","",DH10+Metrics!DI2)</f>
        <v>25151</v>
      </c>
      <c r="DJ10" s="2">
        <f>IF(DJ2="","",DI10+Metrics!DJ2)</f>
        <v>25385</v>
      </c>
      <c r="DK10" s="2">
        <f>IF(DK2="","",DJ10+Metrics!DK2)</f>
        <v>25675</v>
      </c>
      <c r="DM10" s="10"/>
      <c r="DN10" s="10"/>
      <c r="DO10" s="10"/>
      <c r="DP10" s="10"/>
      <c r="DQ10" s="10"/>
      <c r="DR10" s="10"/>
      <c r="DS10" s="10"/>
      <c r="DT10" s="10"/>
      <c r="DU10" s="10"/>
    </row>
    <row r="11" spans="1:127" x14ac:dyDescent="0.25">
      <c r="A11" s="1" t="s">
        <v>6</v>
      </c>
      <c r="B11" s="2">
        <f>Metrics!B3</f>
        <v>31</v>
      </c>
      <c r="C11" s="2">
        <f>B11+Metrics!C3</f>
        <v>103</v>
      </c>
      <c r="D11" s="2">
        <f>C11+Metrics!D3</f>
        <v>436</v>
      </c>
      <c r="E11" s="2">
        <f>D11+Metrics!E3</f>
        <v>488</v>
      </c>
      <c r="F11" s="2">
        <f>E11+Metrics!F3</f>
        <v>597</v>
      </c>
      <c r="G11" s="2">
        <f>F11+Metrics!G3</f>
        <v>753</v>
      </c>
      <c r="H11" s="2">
        <f>G11+Metrics!H3</f>
        <v>872</v>
      </c>
      <c r="I11" s="2">
        <f>H11+Metrics!I3</f>
        <v>932</v>
      </c>
      <c r="J11" s="2">
        <f>I11+Metrics!J3</f>
        <v>1029</v>
      </c>
      <c r="K11" s="2">
        <f>J11+Metrics!K3</f>
        <v>1395</v>
      </c>
      <c r="L11" s="2">
        <f>K11+Metrics!L3</f>
        <v>1521</v>
      </c>
      <c r="M11" s="2">
        <f>L11+Metrics!M3</f>
        <v>1755</v>
      </c>
      <c r="N11" s="2">
        <f>M11+Metrics!N3</f>
        <v>1810</v>
      </c>
      <c r="O11" s="2">
        <f>N11+Metrics!O3</f>
        <v>1871</v>
      </c>
      <c r="P11" s="2">
        <f>O11+Metrics!P3</f>
        <v>1954</v>
      </c>
      <c r="Q11" s="2">
        <f>IF(Q3="","",P11+Metrics!Q3)</f>
        <v>1981</v>
      </c>
      <c r="R11" s="2">
        <f>IF(R3="","",Q11+Metrics!R3)</f>
        <v>2054</v>
      </c>
      <c r="S11" s="2">
        <f>IF(S3="","",R11+Metrics!S3)</f>
        <v>2468</v>
      </c>
      <c r="T11" s="2">
        <f>IF(T3="","",S11+Metrics!T3)</f>
        <v>3070</v>
      </c>
      <c r="U11" s="2">
        <f>IF(U3="","",T11+Metrics!U3)</f>
        <v>3523</v>
      </c>
      <c r="V11" s="2">
        <f>IF(V3="","",U11+Metrics!V3)</f>
        <v>3687</v>
      </c>
      <c r="W11" s="2">
        <f>IF(W3="","",V11+Metrics!W3)</f>
        <v>3837</v>
      </c>
      <c r="X11" s="2">
        <f>IF(X3="","",W11+Metrics!X3)</f>
        <v>4005</v>
      </c>
      <c r="Y11" s="2">
        <f>IF(Y3="","",X11+Metrics!Y3)</f>
        <v>4263</v>
      </c>
      <c r="Z11" s="2">
        <f>IF(Z3="","",Y11+Metrics!Z3)</f>
        <v>4949</v>
      </c>
      <c r="AA11" s="2">
        <f>IF(AA3="","",Z11+Metrics!AA3)</f>
        <v>5635</v>
      </c>
      <c r="AB11" s="2">
        <f>IF(AB3="","",AA11+Metrics!AB3)</f>
        <v>5755</v>
      </c>
      <c r="AC11" s="2">
        <f>IF(AC3="","",AB11+Metrics!AC3)</f>
        <v>6128</v>
      </c>
      <c r="AD11" s="2">
        <f>IF(AD3="","",AC11+Metrics!AD3)</f>
        <v>6452</v>
      </c>
      <c r="AE11" s="2">
        <f>IF(AE3="","",AD11+Metrics!AE3)</f>
        <v>6829</v>
      </c>
      <c r="AF11" s="2">
        <f>IF(AF3="","",AD11+Metrics!AF3)</f>
        <v>6699</v>
      </c>
      <c r="AG11" s="2">
        <f>IF(AG3="","",AE11+Metrics!AG3)</f>
        <v>7041</v>
      </c>
      <c r="AH11" s="2">
        <f>IF(AH3="","",AG11+Metrics!AH3)</f>
        <v>7113</v>
      </c>
      <c r="AI11" s="2">
        <f>IF(AI3="","",AH11+Metrics!AI3)</f>
        <v>7583</v>
      </c>
      <c r="AJ11" s="2">
        <f>IF(AJ3="","",AI11+Metrics!AJ3)</f>
        <v>7804</v>
      </c>
      <c r="AK11" s="2">
        <f>IF(AK3="","",AJ11+Metrics!AK3)</f>
        <v>7815</v>
      </c>
      <c r="AL11" s="2">
        <f>IF(AL3="","",AK11+Metrics!AL3)</f>
        <v>7889</v>
      </c>
      <c r="AM11" s="2">
        <f>IF(AM3="","",AL11+Metrics!AM3)</f>
        <v>7898</v>
      </c>
      <c r="AN11" s="2">
        <f>IF(AN3="","",AM11+Metrics!AN3)</f>
        <v>7922</v>
      </c>
      <c r="AO11" s="2">
        <f>IF(AO3="","",AN11+Metrics!AO3)</f>
        <v>8297</v>
      </c>
      <c r="AP11" s="2">
        <f>IF(AP3="","",AO11+Metrics!AP3)</f>
        <v>8298</v>
      </c>
      <c r="AQ11" s="2">
        <f>IF(AQ3="","",AP11+Metrics!AQ3)</f>
        <v>8341</v>
      </c>
      <c r="AR11" s="2">
        <f>IF(AR3="","",AQ11+Metrics!AR3)</f>
        <v>8353</v>
      </c>
      <c r="AS11" s="2">
        <f>IF(AS3="","",AR11+Metrics!AS3)</f>
        <v>8370</v>
      </c>
      <c r="AT11" s="2">
        <f>IF(AT3="","",AS11+Metrics!AT3)</f>
        <v>8387</v>
      </c>
      <c r="AU11" s="2">
        <f>IF(AU3="","",AT11+Metrics!AU3)</f>
        <v>8425</v>
      </c>
      <c r="AV11" s="2">
        <f>IF(AV3="","",AU11+Metrics!AV3)</f>
        <v>8450</v>
      </c>
      <c r="AW11" s="2">
        <f>IF(AW3="","",AV11+Metrics!AW3)</f>
        <v>8532</v>
      </c>
      <c r="AX11" s="2">
        <f>IF(AX3="","",AW11+Metrics!AX3)</f>
        <v>8610</v>
      </c>
      <c r="AY11" s="2">
        <f>IF(AY3="","",AX11+Metrics!AY3)</f>
        <v>8709</v>
      </c>
      <c r="AZ11" s="2">
        <f>IF(AZ3="","",AY11+Metrics!AZ3)</f>
        <v>8797</v>
      </c>
      <c r="BA11" s="2">
        <f>IF(BA3="","",AZ11+Metrics!BA3)</f>
        <v>8877</v>
      </c>
      <c r="BB11" s="2">
        <f>IF(BB3="","",BA11+Metrics!BB3)</f>
        <v>8969</v>
      </c>
      <c r="BC11" s="2">
        <f>IF(BC3="","",BB11+Metrics!BC3)</f>
        <v>9069</v>
      </c>
      <c r="BD11" s="2">
        <f>IF(BD3="","",BC11+Metrics!BD3)</f>
        <v>9289</v>
      </c>
      <c r="BE11" s="2">
        <f>IF(BE3="","",BD11+Metrics!BE3)</f>
        <v>9419</v>
      </c>
      <c r="BF11" s="2">
        <f>IF(BF3="","",BE11+Metrics!BF3)</f>
        <v>9477</v>
      </c>
      <c r="BG11" s="2">
        <f>IF(BG3="","",BF11+Metrics!BG3)</f>
        <v>9624</v>
      </c>
      <c r="BH11" s="2">
        <f>IF(BH3="","",BG11+Metrics!BH3)</f>
        <v>9708</v>
      </c>
      <c r="BI11" s="2">
        <f>IF(BI3="","",BH11+Metrics!BI3)</f>
        <v>9796</v>
      </c>
      <c r="BJ11" s="2">
        <f>IF(BJ3="","",BI11+Metrics!BJ3)</f>
        <v>9846</v>
      </c>
      <c r="BK11" s="2">
        <f>IF(BK3="","",BJ11+Metrics!BK3)</f>
        <v>9916</v>
      </c>
      <c r="BL11" s="2">
        <f>IF(BL3="","",BK11+Metrics!BL3)</f>
        <v>10297</v>
      </c>
      <c r="BM11" s="2">
        <f>IF(BM3="","",BL11+Metrics!BM3)</f>
        <v>10795</v>
      </c>
      <c r="BN11" s="2">
        <f>IF(BN3="","",BM11+Metrics!BN3)</f>
        <v>10953</v>
      </c>
      <c r="BO11" s="2">
        <f>IF(BO3="","",BN11+Metrics!BO3)</f>
        <v>11228</v>
      </c>
      <c r="BP11" s="2">
        <f>IF(BP3="","",BO11+Metrics!BP3)</f>
        <v>11332</v>
      </c>
      <c r="BQ11" s="2">
        <f>IF(BQ3="","",BP11+Metrics!BQ3)</f>
        <v>11333</v>
      </c>
      <c r="BR11" s="2">
        <f>IF(BR3="","",BQ11+Metrics!BR3)</f>
        <v>11335</v>
      </c>
      <c r="BS11" s="2">
        <f>IF(BS3="","",BR11+Metrics!BS3)</f>
        <v>11347</v>
      </c>
      <c r="BT11" s="2">
        <f>IF(BT3="","",BS11+Metrics!BT3)</f>
        <v>11351</v>
      </c>
      <c r="BU11" s="2">
        <f>IF(BU3="","",BT11+Metrics!BU3)</f>
        <v>11520</v>
      </c>
      <c r="BV11" s="2">
        <f>IF(BV3="","",BU11+Metrics!BV3)</f>
        <v>11557</v>
      </c>
      <c r="BW11" s="2">
        <f>IF(BW3="","",BV11+Metrics!BW3)</f>
        <v>11569</v>
      </c>
      <c r="BX11" s="2">
        <f>IF(BX3="","",BW11+Metrics!BX3)</f>
        <v>11605</v>
      </c>
      <c r="BY11" s="2">
        <f>IF(BY3="","",BX11+Metrics!BY3)</f>
        <v>11714</v>
      </c>
      <c r="BZ11" s="2">
        <f>IF(BZ3="","",BY11+Metrics!BZ3)</f>
        <v>11764</v>
      </c>
      <c r="CA11" s="2">
        <f>IF(CA3="","",BZ11+Metrics!CA3)</f>
        <v>11782</v>
      </c>
      <c r="CB11" s="2">
        <f>IF(CB3="","",CA11+Metrics!CB3)</f>
        <v>11782</v>
      </c>
      <c r="CC11" s="2">
        <f>IF(CC3="","",CB11+Metrics!CC3)</f>
        <v>11849</v>
      </c>
      <c r="CD11" s="2">
        <f>IF(CD3="","",CC11+Metrics!CD3)</f>
        <v>11944</v>
      </c>
      <c r="CE11" s="2">
        <f>IF(CE3="","",CD11+Metrics!CE3)</f>
        <v>12270</v>
      </c>
      <c r="CF11" s="2">
        <f>IF(CF3="","",CE11+Metrics!CF3)</f>
        <v>12389</v>
      </c>
      <c r="CG11" s="2">
        <f>IF(CG3="","",CF11+Metrics!CG3)</f>
        <v>12418</v>
      </c>
      <c r="CH11" s="2">
        <f>IF(CH3="","",CG11+Metrics!CH3)</f>
        <v>12513</v>
      </c>
      <c r="CI11" s="2">
        <f>IF(CI3="","",CH11+Metrics!CI3)</f>
        <v>12861</v>
      </c>
      <c r="CJ11" s="2">
        <f>IF(CJ3="","",CI11+Metrics!CJ3)</f>
        <v>13057</v>
      </c>
      <c r="CK11" s="2">
        <f>IF(CK3="","",CJ11+Metrics!CK3)</f>
        <v>13425</v>
      </c>
      <c r="CL11" s="2">
        <f>IF(CL3="","",CK11+Metrics!CL3)</f>
        <v>13755</v>
      </c>
      <c r="CM11" s="2">
        <f>IF(CM3="","",CL11+Metrics!CM3)</f>
        <v>13971</v>
      </c>
      <c r="CN11" s="2">
        <f>IF(CN3="","",CM11+Metrics!CN3)</f>
        <v>14164</v>
      </c>
      <c r="CO11" s="2">
        <f>IF(CO3="","",CN11+Metrics!CO3)</f>
        <v>14277</v>
      </c>
      <c r="CP11" s="2">
        <f>IF(CP3="","",CO11+Metrics!CP3)</f>
        <v>14441</v>
      </c>
      <c r="CQ11" s="2">
        <f>IF(CQ3="","",CP11+Metrics!CQ3)</f>
        <v>14515</v>
      </c>
      <c r="CR11" s="2">
        <f>IF(CR3="","",CQ11+Metrics!CR3)</f>
        <v>14622</v>
      </c>
      <c r="CS11" s="2">
        <f>IF(CS3="","",CR11+Metrics!CS3)</f>
        <v>14811</v>
      </c>
      <c r="CT11" s="2">
        <f>IF(CT3="","",CS11+Metrics!CT3)</f>
        <v>14916</v>
      </c>
      <c r="CU11" s="2">
        <f>IF(CU3="","",CT11+Metrics!CU3)</f>
        <v>15086</v>
      </c>
      <c r="CV11" s="2">
        <f>IF(CV3="","",CU11+Metrics!CV3)</f>
        <v>15217</v>
      </c>
      <c r="CW11" s="2">
        <f>IF(CW3="","",CV11+Metrics!CW3)</f>
        <v>15425</v>
      </c>
      <c r="CX11" s="2">
        <f>IF(CX3="","",CW11+Metrics!CX3)</f>
        <v>15824</v>
      </c>
      <c r="CY11" s="2">
        <f>IF(CY3="","",CX11+Metrics!CY3)</f>
        <v>16206</v>
      </c>
      <c r="CZ11" s="2">
        <f>IF(CZ3="","",CY11+Metrics!CZ3)</f>
        <v>16497</v>
      </c>
      <c r="DA11" s="2">
        <f>IF(DA3="","",CZ11+Metrics!DA3)</f>
        <v>16881</v>
      </c>
      <c r="DB11" s="2">
        <f>IF(DB3="","",DA11+Metrics!DB3)</f>
        <v>17319</v>
      </c>
      <c r="DC11" s="2">
        <f>IF(DC3="","",DB11+Metrics!DC3)</f>
        <v>17497</v>
      </c>
      <c r="DD11" s="2">
        <f>IF(DD3="","",DC11+Metrics!DD3)</f>
        <v>17783</v>
      </c>
      <c r="DE11" s="2">
        <f>IF(DE3="","",DD11+Metrics!DE3)</f>
        <v>18096</v>
      </c>
      <c r="DF11" s="2">
        <f>IF(DF3="","",DE11+Metrics!DF3)</f>
        <v>18377</v>
      </c>
      <c r="DG11" s="2">
        <f>IF(DG3="","",DF11+Metrics!DG3)</f>
        <v>18594</v>
      </c>
      <c r="DH11" s="2">
        <f>IF(DH3="","",DG11+Metrics!DH3)</f>
        <v>18859</v>
      </c>
      <c r="DI11" s="2">
        <f>IF(DI3="","",DH11+Metrics!DI3)</f>
        <v>19142</v>
      </c>
      <c r="DJ11" s="2">
        <f>IF(DJ3="","",DI11+Metrics!DJ3)</f>
        <v>19637</v>
      </c>
      <c r="DK11" s="2">
        <f>IF(DK3="","",DJ11+Metrics!DK3)</f>
        <v>19931</v>
      </c>
      <c r="DM11" s="10"/>
      <c r="DN11" s="10"/>
      <c r="DO11" s="10"/>
      <c r="DP11" s="10"/>
      <c r="DQ11" s="10"/>
      <c r="DR11" s="10"/>
      <c r="DS11" s="10"/>
      <c r="DT11" s="10"/>
      <c r="DU11" s="10"/>
    </row>
    <row r="12" spans="1:127" x14ac:dyDescent="0.25">
      <c r="A12" s="1" t="s">
        <v>7</v>
      </c>
      <c r="B12" s="2">
        <f>Metrics!B4</f>
        <v>12</v>
      </c>
      <c r="C12" s="2">
        <f>B12+Metrics!C4</f>
        <v>28</v>
      </c>
      <c r="D12" s="2">
        <f>C12+Metrics!D4</f>
        <v>62</v>
      </c>
      <c r="E12" s="2">
        <f>D12+Metrics!E4</f>
        <v>70</v>
      </c>
      <c r="F12" s="2">
        <f>E12+Metrics!F4</f>
        <v>91</v>
      </c>
      <c r="G12" s="2">
        <f>F12+Metrics!G4</f>
        <v>118</v>
      </c>
      <c r="H12" s="2">
        <f>G12+Metrics!H4</f>
        <v>146</v>
      </c>
      <c r="I12" s="2">
        <f>H12+Metrics!I4</f>
        <v>179</v>
      </c>
      <c r="J12" s="2">
        <f>I12+Metrics!J4</f>
        <v>216</v>
      </c>
      <c r="K12" s="2">
        <f>J12+Metrics!K4</f>
        <v>261</v>
      </c>
      <c r="L12" s="2">
        <f>K12+Metrics!L4</f>
        <v>269</v>
      </c>
      <c r="M12" s="2">
        <f>L12+Metrics!M4</f>
        <v>329</v>
      </c>
      <c r="N12" s="2">
        <f>M12+Metrics!N4</f>
        <v>337</v>
      </c>
      <c r="O12" s="2">
        <f>N12+Metrics!O4</f>
        <v>343</v>
      </c>
      <c r="P12" s="2">
        <f>O12+Metrics!P4</f>
        <v>356</v>
      </c>
      <c r="Q12" s="2">
        <f>IF(Q4="","",P12+Metrics!Q4)</f>
        <v>369</v>
      </c>
      <c r="R12" s="2">
        <f>IF(R4="","",Q12+Metrics!R4)</f>
        <v>400</v>
      </c>
      <c r="S12" s="2">
        <f>IF(S4="","",R12+Metrics!S4)</f>
        <v>409</v>
      </c>
      <c r="T12" s="2">
        <f>IF(T4="","",S12+Metrics!T4)</f>
        <v>459</v>
      </c>
      <c r="U12" s="2">
        <f>IF(U4="","",T12+Metrics!U4)</f>
        <v>470</v>
      </c>
      <c r="V12" s="2">
        <f>IF(V4="","",U12+Metrics!V4)</f>
        <v>471</v>
      </c>
      <c r="W12" s="2">
        <f>IF(W4="","",V12+Metrics!W4)</f>
        <v>472</v>
      </c>
      <c r="X12" s="2">
        <f>IF(X4="","",W12+Metrics!X4)</f>
        <v>475</v>
      </c>
      <c r="Y12" s="2">
        <f>IF(Y4="","",X12+Metrics!Y4)</f>
        <v>479</v>
      </c>
      <c r="Z12" s="2">
        <f>IF(Z4="","",Y12+Metrics!Z4)</f>
        <v>486</v>
      </c>
      <c r="AA12" s="2">
        <f>IF(AA4="","",Z12+Metrics!AA4)</f>
        <v>493</v>
      </c>
      <c r="AB12" s="2">
        <f>IF(AB4="","",AA12+Metrics!AB4)</f>
        <v>493</v>
      </c>
      <c r="AC12" s="2">
        <f>IF(AC4="","",AB12+Metrics!AC4)</f>
        <v>493</v>
      </c>
      <c r="AD12" s="2">
        <f>IF(AD4="","",AC12+Metrics!AD4)</f>
        <v>495</v>
      </c>
      <c r="AE12" s="2">
        <f>IF(AE4="","",AD12+Metrics!AE4)</f>
        <v>495</v>
      </c>
      <c r="AF12" s="2">
        <f>IF(AF4="","",AD12+Metrics!AF4)</f>
        <v>495</v>
      </c>
      <c r="AG12" s="2">
        <f>IF(AG4="","",AE12+Metrics!AG4)</f>
        <v>495</v>
      </c>
      <c r="AH12" s="2">
        <f>IF(AH4="","",AF12+Metrics!AH4)</f>
        <v>495</v>
      </c>
      <c r="AI12" s="2">
        <f>IF(AI4="","",AG12+Metrics!AI4)</f>
        <v>495</v>
      </c>
      <c r="AJ12" s="2">
        <f>IF(AJ4="","",AH12+Metrics!AJ4)</f>
        <v>495</v>
      </c>
      <c r="AK12" s="2">
        <f>IF(AK4="","",AI12+Metrics!AK4)</f>
        <v>495</v>
      </c>
      <c r="AL12" s="2">
        <f>IF(AL4="","",AJ12+Metrics!AL4)</f>
        <v>495</v>
      </c>
      <c r="AM12" s="2">
        <f>IF(AM4="","",AK12+Metrics!AM4)</f>
        <v>495</v>
      </c>
      <c r="AN12" s="2">
        <f>IF(AN4="","",AL12+Metrics!AN4)</f>
        <v>495</v>
      </c>
      <c r="AO12" s="2">
        <f>IF(AO4="","",AM12+Metrics!AO4)</f>
        <v>495</v>
      </c>
      <c r="AP12" s="2">
        <f>IF(AP4="","",AN12+Metrics!AP4)</f>
        <v>495</v>
      </c>
      <c r="AQ12" s="2">
        <f>IF(AQ4="","",AO12+Metrics!AQ4)</f>
        <v>495</v>
      </c>
      <c r="AR12" s="2">
        <f>IF(AR4="","",AP12+Metrics!AR4)</f>
        <v>495</v>
      </c>
      <c r="AS12" s="2">
        <f>IF(AS4="","",AQ12+Metrics!AS4)</f>
        <v>495</v>
      </c>
      <c r="AT12" s="2">
        <f>IF(AT4="","",AR12+Metrics!AT4)</f>
        <v>495</v>
      </c>
      <c r="AU12" s="2">
        <f>IF(AU4="","",AT12+Metrics!AU4)</f>
        <v>495</v>
      </c>
      <c r="AV12" s="2">
        <f>IF(AV4="","",AU12+Metrics!AV4)</f>
        <v>495</v>
      </c>
      <c r="AW12" s="2">
        <f>IF(AW4="","",AV12+Metrics!AW4)</f>
        <v>495</v>
      </c>
      <c r="AX12" s="2">
        <f>IF(AX4="","",AW12+Metrics!AX4)</f>
        <v>495</v>
      </c>
      <c r="AY12" s="2">
        <f>IF(AY4="","",AX12+Metrics!AY4)</f>
        <v>495</v>
      </c>
      <c r="AZ12" s="2">
        <f>IF(AZ4="","",AY12+Metrics!AZ4)</f>
        <v>495</v>
      </c>
      <c r="BA12" s="2">
        <f>IF(BA4="","",AZ12+Metrics!BA4)</f>
        <v>495</v>
      </c>
      <c r="BB12" s="2">
        <f>IF(BB4="","",BA12+Metrics!BB4)</f>
        <v>495</v>
      </c>
      <c r="BC12" s="2">
        <f>IF(BC4="","",BB12+Metrics!BC4)</f>
        <v>495</v>
      </c>
      <c r="BD12" s="2">
        <f>IF(BD4="","",BC12+Metrics!BD4)</f>
        <v>495</v>
      </c>
      <c r="BE12" s="2">
        <f>IF(BE4="","",BD12+Metrics!BE4)</f>
        <v>495</v>
      </c>
      <c r="BF12" s="2">
        <f>IF(BF4="","",BE12+Metrics!BF4)</f>
        <v>495</v>
      </c>
      <c r="BG12" s="2">
        <f>IF(BG4="","",BF12+Metrics!BG4)</f>
        <v>495</v>
      </c>
      <c r="BH12" s="2">
        <f>IF(BH4="","",BG12+Metrics!BH4)</f>
        <v>495</v>
      </c>
      <c r="BI12" s="2">
        <f>IF(BI4="","",BH12+Metrics!BI4)</f>
        <v>495</v>
      </c>
      <c r="BJ12" s="2">
        <f>IF(BJ4="","",BI12+Metrics!BJ4)</f>
        <v>495</v>
      </c>
      <c r="BK12" s="2">
        <f>IF(BK4="","",BJ12+Metrics!BK4)</f>
        <v>495</v>
      </c>
      <c r="BL12" s="2">
        <f>IF(BL4="","",BK12+Metrics!BL4)</f>
        <v>498</v>
      </c>
      <c r="BM12" s="2">
        <f>IF(BM4="","",BL12+Metrics!BM4)</f>
        <v>498</v>
      </c>
      <c r="BN12" s="2">
        <f>IF(BN4="","",BM12+Metrics!BN4)</f>
        <v>498</v>
      </c>
      <c r="BO12" s="2">
        <f>IF(BO4="","",BN12+Metrics!BO4)</f>
        <v>498</v>
      </c>
      <c r="BP12" s="2">
        <f>IF(BP4="","",BO12+Metrics!BP4)</f>
        <v>498</v>
      </c>
      <c r="BQ12" s="2">
        <f>IF(BQ4="","",BP12+Metrics!BQ4)</f>
        <v>498</v>
      </c>
      <c r="BR12" s="2">
        <f>IF(BR4="","",BQ12+Metrics!BR4)</f>
        <v>498</v>
      </c>
      <c r="BS12" s="2">
        <f>IF(BS4="","",BR12+Metrics!BS4)</f>
        <v>498</v>
      </c>
      <c r="BT12" s="2">
        <f>IF(BT4="","",BS12+Metrics!BT4)</f>
        <v>498</v>
      </c>
      <c r="BU12" s="2">
        <f>IF(BU4="","",BT12+Metrics!BU4)</f>
        <v>498</v>
      </c>
      <c r="BV12" s="2">
        <f>IF(BV4="","",BU12+Metrics!BV4)</f>
        <v>498</v>
      </c>
      <c r="BW12" s="2">
        <f>IF(BW4="","",BV12+Metrics!BW4)</f>
        <v>498</v>
      </c>
      <c r="BX12" s="2">
        <f>IF(BX4="","",BW12+Metrics!BX4)</f>
        <v>498</v>
      </c>
      <c r="BY12" s="2">
        <f>IF(BY4="","",BX12+Metrics!BY4)</f>
        <v>498</v>
      </c>
      <c r="BZ12" s="2">
        <f>IF(BZ4="","",BY12+Metrics!BZ4)</f>
        <v>498</v>
      </c>
      <c r="CA12" s="2">
        <f>IF(CA4="","",BZ12+Metrics!CA4)</f>
        <v>498</v>
      </c>
      <c r="CB12" s="2">
        <f>IF(CB4="","",CA12+Metrics!CB4)</f>
        <v>498</v>
      </c>
      <c r="CC12" s="2">
        <f>IF(CC4="","",CB12+Metrics!CC4)</f>
        <v>498</v>
      </c>
      <c r="CD12" s="2">
        <f>IF(CD4="","",CC12+Metrics!CD4)</f>
        <v>498</v>
      </c>
      <c r="CE12" s="2">
        <f>IF(CE4="","",CD12+Metrics!CE4)</f>
        <v>498</v>
      </c>
      <c r="CF12" s="2">
        <f>IF(CF4="","",CE12+Metrics!CF4)</f>
        <v>498</v>
      </c>
      <c r="CG12" s="2">
        <f>IF(CG4="","",CF12+Metrics!CG4)</f>
        <v>498</v>
      </c>
      <c r="CH12" s="2">
        <f>IF(CH4="","",CG12+Metrics!CH4)</f>
        <v>498</v>
      </c>
      <c r="CI12" s="2">
        <f>IF(CI4="","",CH12+Metrics!CI4)</f>
        <v>498</v>
      </c>
      <c r="CJ12" s="2">
        <f>IF(CJ4="","",CI12+Metrics!CJ4)</f>
        <v>498</v>
      </c>
      <c r="CK12" s="2">
        <f>IF(CK4="","",CJ12+Metrics!CK4)</f>
        <v>498</v>
      </c>
      <c r="CL12" s="2">
        <f>IF(CL4="","",CK12+Metrics!CL4)</f>
        <v>498</v>
      </c>
      <c r="CM12" s="2">
        <f>IF(CM4="","",CL12+Metrics!CM4)</f>
        <v>498</v>
      </c>
      <c r="CN12" s="2">
        <f>IF(CN4="","",CM12+Metrics!CN4)</f>
        <v>498</v>
      </c>
      <c r="CO12" s="2">
        <f>IF(CO4="","",CN12+Metrics!CO4)</f>
        <v>498</v>
      </c>
      <c r="CP12" s="2">
        <f>IF(CP4="","",CO12+Metrics!CP4)</f>
        <v>498</v>
      </c>
      <c r="CQ12" s="2">
        <f>IF(CQ4="","",CP12+Metrics!CQ4)</f>
        <v>498</v>
      </c>
      <c r="CR12" s="2">
        <f>IF(CR4="","",CQ12+Metrics!CR4)</f>
        <v>498</v>
      </c>
      <c r="CS12" s="2">
        <f>IF(CS4="","",CR12+Metrics!CS4)</f>
        <v>498</v>
      </c>
      <c r="CT12" s="2">
        <f>IF(CT4="","",CS12+Metrics!CT4)</f>
        <v>498</v>
      </c>
      <c r="CU12" s="2">
        <f>IF(CU4="","",CT12+Metrics!CU4)</f>
        <v>498</v>
      </c>
      <c r="CV12" s="2">
        <f>IF(CV4="","",CU12+Metrics!CV4)</f>
        <v>498</v>
      </c>
      <c r="CW12" s="2">
        <f>IF(CW4="","",CV12+Metrics!CW4)</f>
        <v>498</v>
      </c>
      <c r="CX12" s="2">
        <f>IF(CX4="","",CW12+Metrics!CX4)</f>
        <v>498</v>
      </c>
      <c r="CY12" s="2">
        <f>IF(CY4="","",CX12+Metrics!CY4)</f>
        <v>498</v>
      </c>
      <c r="CZ12" s="2">
        <f>IF(CZ4="","",CY12+Metrics!CZ4)</f>
        <v>498</v>
      </c>
      <c r="DA12" s="2">
        <f>IF(DA4="","",CZ12+Metrics!DA4)</f>
        <v>498</v>
      </c>
      <c r="DB12" s="2">
        <f>IF(DB4="","",DA12+Metrics!DB4)</f>
        <v>498</v>
      </c>
      <c r="DC12" s="2">
        <f>IF(DC4="","",DB12+Metrics!DC4)</f>
        <v>498</v>
      </c>
      <c r="DD12" s="2">
        <f>IF(DD4="","",DC12+Metrics!DD4)</f>
        <v>498</v>
      </c>
      <c r="DE12" s="2">
        <f>IF(DE4="","",DD12+Metrics!DE4)</f>
        <v>498</v>
      </c>
      <c r="DF12" s="2">
        <f>IF(DF4="","",DE12+Metrics!DF4)</f>
        <v>498</v>
      </c>
      <c r="DG12" s="2">
        <f>IF(DG4="","",DF12+Metrics!DG4)</f>
        <v>498</v>
      </c>
      <c r="DH12" s="2">
        <f>IF(DH4="","",DG12+Metrics!DH4)</f>
        <v>498</v>
      </c>
      <c r="DI12" s="2">
        <f>IF(DI4="","",DH12+Metrics!DI4)</f>
        <v>498</v>
      </c>
      <c r="DJ12" s="2">
        <f>IF(DJ4="","",DI12+Metrics!DJ4)</f>
        <v>498</v>
      </c>
      <c r="DK12" s="2">
        <f>IF(DK4="","",DJ12+Metrics!DK4)</f>
        <v>498</v>
      </c>
      <c r="DM12" s="10"/>
      <c r="DN12" s="10"/>
      <c r="DO12" s="10"/>
      <c r="DP12" s="10"/>
      <c r="DQ12" s="10"/>
      <c r="DR12" s="10"/>
      <c r="DS12" s="10"/>
      <c r="DT12" s="10"/>
      <c r="DU12" s="10"/>
    </row>
    <row r="13" spans="1:127" x14ac:dyDescent="0.25">
      <c r="A13" s="1" t="s">
        <v>8</v>
      </c>
      <c r="B13" s="2">
        <f>Metrics!B5</f>
        <v>2</v>
      </c>
      <c r="C13" s="2">
        <f>B13+Metrics!C5</f>
        <v>5</v>
      </c>
      <c r="D13" s="2">
        <f>C13+Metrics!D5</f>
        <v>5</v>
      </c>
      <c r="E13" s="2">
        <f>D13+Metrics!E5</f>
        <v>5</v>
      </c>
      <c r="F13" s="2">
        <f>E13+Metrics!F5</f>
        <v>5</v>
      </c>
      <c r="G13" s="2">
        <f>F13+Metrics!G5</f>
        <v>6</v>
      </c>
      <c r="H13" s="2">
        <f>G13+Metrics!H5</f>
        <v>12</v>
      </c>
      <c r="I13" s="2">
        <f>H13+Metrics!I5</f>
        <v>16</v>
      </c>
      <c r="J13" s="2">
        <f>I13+Metrics!J5</f>
        <v>28</v>
      </c>
      <c r="K13" s="2">
        <f>J13+Metrics!K5</f>
        <v>35</v>
      </c>
      <c r="L13" s="2">
        <f>K13+Metrics!L5</f>
        <v>42</v>
      </c>
      <c r="M13" s="2">
        <f>L13+Metrics!M5</f>
        <v>56</v>
      </c>
      <c r="N13" s="2">
        <f>M13+Metrics!N5</f>
        <v>61</v>
      </c>
      <c r="O13" s="2">
        <f>N13+Metrics!O5</f>
        <v>63</v>
      </c>
      <c r="P13" s="2">
        <f>O13+Metrics!P5</f>
        <v>74</v>
      </c>
      <c r="Q13" s="2">
        <f>IF(Q5="","",P13+Metrics!Q5)</f>
        <v>81</v>
      </c>
      <c r="R13" s="2">
        <f>IF(R5="","",Q13+Metrics!R5)</f>
        <v>84</v>
      </c>
      <c r="S13" s="2">
        <f>IF(S5="","",R13+Metrics!S5)</f>
        <v>96</v>
      </c>
      <c r="T13" s="2">
        <f>IF(T5="","",S13+Metrics!T5)</f>
        <v>131</v>
      </c>
      <c r="U13" s="2">
        <f>IF(U5="","",T13+Metrics!U5)</f>
        <v>132</v>
      </c>
      <c r="V13" s="2">
        <f>IF(V5="","",U13+Metrics!V5)</f>
        <v>135</v>
      </c>
      <c r="W13" s="2">
        <f>IF(W5="","",V13+Metrics!W5)</f>
        <v>135</v>
      </c>
      <c r="X13" s="2">
        <f>IF(X5="","",W13+Metrics!X5)</f>
        <v>135</v>
      </c>
      <c r="Y13" s="2">
        <f>IF(Y5="","",X13+Metrics!Y5)</f>
        <v>136</v>
      </c>
      <c r="Z13" s="2">
        <f>IF(Z5="","",Y13+Metrics!Z5)</f>
        <v>140</v>
      </c>
      <c r="AA13" s="2">
        <f>IF(AA5="","",Z13+Metrics!AA5)</f>
        <v>144</v>
      </c>
      <c r="AB13" s="2">
        <f>IF(AB5="","",AA13+Metrics!AB5)</f>
        <v>144</v>
      </c>
      <c r="AC13" s="2">
        <f>IF(AC5="","",AB13+Metrics!AC5)</f>
        <v>144</v>
      </c>
      <c r="AD13" s="2">
        <f>IF(AD5="","",AC13+Metrics!AD5)</f>
        <v>144</v>
      </c>
      <c r="AE13" s="2">
        <f>IF(AE5="","",AD13+Metrics!AE5)</f>
        <v>144</v>
      </c>
      <c r="AF13" s="2">
        <f>IF(AF5="","",AD13+Metrics!AF5)</f>
        <v>144</v>
      </c>
      <c r="AG13" s="2">
        <f>IF(AG5="","",AE13+Metrics!AG5)</f>
        <v>144</v>
      </c>
      <c r="AH13" s="2">
        <f>IF(AH5="","",AF13+Metrics!AH5)</f>
        <v>144</v>
      </c>
      <c r="AI13" s="2">
        <f>IF(AI5="","",AG13+Metrics!AI5)</f>
        <v>144</v>
      </c>
      <c r="AJ13" s="2">
        <f>IF(AJ5="","",AH13+Metrics!AJ5)</f>
        <v>144</v>
      </c>
      <c r="AK13" s="2">
        <f>IF(AK5="","",AI13+Metrics!AK5)</f>
        <v>144</v>
      </c>
      <c r="AL13" s="2">
        <f>IF(AL5="","",AJ13+Metrics!AL5)</f>
        <v>144</v>
      </c>
      <c r="AM13" s="2">
        <f>IF(AM5="","",AK13+Metrics!AM5)</f>
        <v>144</v>
      </c>
      <c r="AN13" s="2">
        <f>IF(AN5="","",AL13+Metrics!AN5)</f>
        <v>144</v>
      </c>
      <c r="AO13" s="2">
        <f>IF(AO5="","",AM13+Metrics!AO5)</f>
        <v>144</v>
      </c>
      <c r="AP13" s="2">
        <f>IF(AP5="","",AN13+Metrics!AP5)</f>
        <v>144</v>
      </c>
      <c r="AQ13" s="2">
        <f>IF(AQ5="","",AO13+Metrics!AQ5)</f>
        <v>144</v>
      </c>
      <c r="AR13" s="2">
        <f>IF(AR5="","",AP13+Metrics!AR5)</f>
        <v>144</v>
      </c>
      <c r="AS13" s="2">
        <f>IF(AS5="","",AQ13+Metrics!AS5)</f>
        <v>144</v>
      </c>
      <c r="AT13" s="2">
        <f>IF(AT5="","",AR13+Metrics!AT5)</f>
        <v>144</v>
      </c>
      <c r="AU13" s="2">
        <f>IF(AU5="","",AT13+Metrics!AU5)</f>
        <v>144</v>
      </c>
      <c r="AV13" s="2">
        <f>IF(AV5="","",AU13+Metrics!AV5)</f>
        <v>144</v>
      </c>
      <c r="AW13" s="2">
        <f>IF(AW5="","",AV13+Metrics!AW5)</f>
        <v>144</v>
      </c>
      <c r="AX13" s="2">
        <f>IF(AX5="","",AW13+Metrics!AX5)</f>
        <v>144</v>
      </c>
      <c r="AY13" s="2">
        <f>IF(AY5="","",AX13+Metrics!AY5)</f>
        <v>144</v>
      </c>
      <c r="AZ13" s="2">
        <f>IF(AZ5="","",AY13+Metrics!AZ5)</f>
        <v>144</v>
      </c>
      <c r="BA13" s="2">
        <f>IF(BA5="","",AZ13+Metrics!BA5)</f>
        <v>144</v>
      </c>
      <c r="BB13" s="2">
        <f>IF(BB5="","",BA13+Metrics!BB5)</f>
        <v>144</v>
      </c>
      <c r="BC13" s="2">
        <f>IF(BC5="","",BB13+Metrics!BC5)</f>
        <v>144</v>
      </c>
      <c r="BD13" s="2">
        <f>IF(BD5="","",BC13+Metrics!BD5)</f>
        <v>144</v>
      </c>
      <c r="BE13" s="2">
        <f>IF(BE5="","",BD13+Metrics!BE5)</f>
        <v>144</v>
      </c>
      <c r="BF13" s="2">
        <f>IF(BF5="","",BE13+Metrics!BF5)</f>
        <v>144</v>
      </c>
      <c r="BG13" s="2">
        <f>IF(BG5="","",BF13+Metrics!BG5)</f>
        <v>144</v>
      </c>
      <c r="BH13" s="2">
        <f>IF(BH5="","",BG13+Metrics!BH5)</f>
        <v>144</v>
      </c>
      <c r="BI13" s="2">
        <f>IF(BI5="","",BH13+Metrics!BI5)</f>
        <v>144</v>
      </c>
      <c r="BJ13" s="2">
        <f>IF(BJ5="","",BI13+Metrics!BJ5)</f>
        <v>144</v>
      </c>
      <c r="BK13" s="2">
        <f>IF(BK5="","",BJ13+Metrics!BK5)</f>
        <v>144</v>
      </c>
      <c r="BL13" s="2">
        <f>IF(BL5="","",BK13+Metrics!BL5)</f>
        <v>144</v>
      </c>
      <c r="BM13" s="2">
        <f>IF(BM5="","",BL13+Metrics!BM5)</f>
        <v>144</v>
      </c>
      <c r="BN13" s="2">
        <f>IF(BN5="","",BM13+Metrics!BN5)</f>
        <v>144</v>
      </c>
      <c r="BO13" s="2">
        <f>IF(BO5="","",BN13+Metrics!BO5)</f>
        <v>144</v>
      </c>
      <c r="BP13" s="2">
        <f>IF(BP5="","",BO13+Metrics!BP5)</f>
        <v>144</v>
      </c>
      <c r="BQ13" s="2">
        <f>IF(BQ5="","",BP13+Metrics!BQ5)</f>
        <v>144</v>
      </c>
      <c r="BR13" s="2">
        <f>IF(BR5="","",BQ13+Metrics!BR5)</f>
        <v>144</v>
      </c>
      <c r="BS13" s="2">
        <f>IF(BS5="","",BR13+Metrics!BS5)</f>
        <v>144</v>
      </c>
      <c r="BT13" s="2">
        <f>IF(BT5="","",BS13+Metrics!BT5)</f>
        <v>144</v>
      </c>
      <c r="BU13" s="2">
        <f>IF(BU5="","",BT13+Metrics!BU5)</f>
        <v>144</v>
      </c>
      <c r="BV13" s="2">
        <f>IF(BV5="","",BU13+Metrics!BV5)</f>
        <v>144</v>
      </c>
      <c r="BW13" s="2">
        <f>IF(BW5="","",BV13+Metrics!BW5)</f>
        <v>144</v>
      </c>
      <c r="BX13" s="2">
        <f>IF(BX5="","",BW13+Metrics!BX5)</f>
        <v>144</v>
      </c>
      <c r="BY13" s="2">
        <f>IF(BY5="","",BX13+Metrics!BY5)</f>
        <v>144</v>
      </c>
      <c r="BZ13" s="2">
        <f>IF(BZ5="","",BY13+Metrics!BZ5)</f>
        <v>144</v>
      </c>
      <c r="CA13" s="2">
        <f>IF(CA5="","",BZ13+Metrics!CA5)</f>
        <v>144</v>
      </c>
      <c r="CB13" s="2">
        <f>IF(CB5="","",CA13+Metrics!CB5)</f>
        <v>144</v>
      </c>
      <c r="CC13" s="2">
        <f>IF(CC5="","",CB13+Metrics!CC5)</f>
        <v>144</v>
      </c>
      <c r="CD13" s="2">
        <f>IF(CD5="","",CC13+Metrics!CD5)</f>
        <v>144</v>
      </c>
      <c r="CE13" s="2">
        <f>IF(CE5="","",CD13+Metrics!CE5)</f>
        <v>144</v>
      </c>
      <c r="CF13" s="2">
        <f>IF(CF5="","",CE13+Metrics!CF5)</f>
        <v>144</v>
      </c>
      <c r="CG13" s="2">
        <f>IF(CG5="","",CF13+Metrics!CG5)</f>
        <v>144</v>
      </c>
      <c r="CH13" s="2">
        <f>IF(CH5="","",CG13+Metrics!CH5)</f>
        <v>144</v>
      </c>
      <c r="CI13" s="2">
        <f>IF(CI5="","",CH13+Metrics!CI5)</f>
        <v>144</v>
      </c>
      <c r="CJ13" s="2">
        <f>IF(CJ5="","",CI13+Metrics!CJ5)</f>
        <v>144</v>
      </c>
      <c r="CK13" s="2">
        <f>IF(CK5="","",CJ13+Metrics!CK5)</f>
        <v>144</v>
      </c>
      <c r="CL13" s="2">
        <f>IF(CL5="","",CK13+Metrics!CL5)</f>
        <v>144</v>
      </c>
      <c r="CM13" s="2">
        <f>IF(CM5="","",CL13+Metrics!CM5)</f>
        <v>144</v>
      </c>
      <c r="CN13" s="2">
        <f>IF(CN5="","",CM13+Metrics!CN5)</f>
        <v>144</v>
      </c>
      <c r="CO13" s="2">
        <f>IF(CO5="","",CN13+Metrics!CO5)</f>
        <v>144</v>
      </c>
      <c r="CP13" s="2">
        <f>IF(CP5="","",CO13+Metrics!CP5)</f>
        <v>144</v>
      </c>
      <c r="CQ13" s="2">
        <f>IF(CQ5="","",CP13+Metrics!CQ5)</f>
        <v>144</v>
      </c>
      <c r="CR13" s="2">
        <f>IF(CR5="","",CQ13+Metrics!CR5)</f>
        <v>144</v>
      </c>
      <c r="CS13" s="2">
        <f>IF(CS5="","",CR13+Metrics!CS5)</f>
        <v>144</v>
      </c>
      <c r="CT13" s="2">
        <f>IF(CT5="","",CS13+Metrics!CT5)</f>
        <v>144</v>
      </c>
      <c r="CU13" s="2">
        <f>IF(CU5="","",CT13+Metrics!CU5)</f>
        <v>144</v>
      </c>
      <c r="CV13" s="2">
        <f>IF(CV5="","",CU13+Metrics!CV5)</f>
        <v>144</v>
      </c>
      <c r="CW13" s="2">
        <f>IF(CW5="","",CV13+Metrics!CW5)</f>
        <v>144</v>
      </c>
      <c r="CX13" s="2">
        <f>IF(CX5="","",CW13+Metrics!CX5)</f>
        <v>144</v>
      </c>
      <c r="CY13" s="2">
        <f>IF(CY5="","",CX13+Metrics!CY5)</f>
        <v>144</v>
      </c>
      <c r="CZ13" s="2">
        <f>IF(CZ5="","",CY13+Metrics!CZ5)</f>
        <v>144</v>
      </c>
      <c r="DA13" s="2">
        <f>IF(DA5="","",CZ13+Metrics!DA5)</f>
        <v>144</v>
      </c>
      <c r="DB13" s="2">
        <f>IF(DB5="","",DA13+Metrics!DB5)</f>
        <v>144</v>
      </c>
      <c r="DC13" s="2">
        <f>IF(DC5="","",DB13+Metrics!DC5)</f>
        <v>144</v>
      </c>
      <c r="DD13" s="2">
        <f>IF(DD5="","",DC13+Metrics!DD5)</f>
        <v>144</v>
      </c>
      <c r="DE13" s="2">
        <f>IF(DE5="","",DD13+Metrics!DE5)</f>
        <v>144</v>
      </c>
      <c r="DF13" s="2">
        <f>IF(DF5="","",DE13+Metrics!DF5)</f>
        <v>144</v>
      </c>
      <c r="DG13" s="2">
        <f>IF(DG5="","",DF13+Metrics!DG5)</f>
        <v>144</v>
      </c>
      <c r="DH13" s="2">
        <f>IF(DH5="","",DG13+Metrics!DH5)</f>
        <v>144</v>
      </c>
      <c r="DI13" s="2">
        <f>IF(DI5="","",DH13+Metrics!DI5)</f>
        <v>144</v>
      </c>
      <c r="DJ13" s="2">
        <f>IF(DJ5="","",DI13+Metrics!DJ5)</f>
        <v>144</v>
      </c>
      <c r="DK13" s="2">
        <f>IF(DK5="","",DJ13+Metrics!DK5)</f>
        <v>144</v>
      </c>
      <c r="DM13" s="10"/>
      <c r="DN13" s="10"/>
      <c r="DO13" s="10"/>
      <c r="DP13" s="10"/>
      <c r="DQ13" s="10"/>
      <c r="DR13" s="10"/>
      <c r="DS13" s="10"/>
      <c r="DT13" s="10"/>
      <c r="DU13" s="10"/>
    </row>
    <row r="14" spans="1:127" x14ac:dyDescent="0.25">
      <c r="A14" s="1" t="s">
        <v>9</v>
      </c>
      <c r="B14" s="2">
        <f>Metrics!B6</f>
        <v>2</v>
      </c>
      <c r="C14" s="2">
        <f>B14+Metrics!C6</f>
        <v>9</v>
      </c>
      <c r="D14" s="2">
        <f>C14+Metrics!D6</f>
        <v>19</v>
      </c>
      <c r="E14" s="2">
        <f>D14+Metrics!E6</f>
        <v>21</v>
      </c>
      <c r="F14" s="2">
        <f>E14+Metrics!F6</f>
        <v>34</v>
      </c>
      <c r="G14" s="2">
        <f>F14+Metrics!G6</f>
        <v>35</v>
      </c>
      <c r="H14" s="2">
        <f>G14+Metrics!H6</f>
        <v>39</v>
      </c>
      <c r="I14" s="2">
        <f>H14+Metrics!I6</f>
        <v>39</v>
      </c>
      <c r="J14" s="2">
        <f>I14+Metrics!J6</f>
        <v>40</v>
      </c>
      <c r="K14" s="2">
        <f>J14+Metrics!K6</f>
        <v>52</v>
      </c>
      <c r="L14" s="2">
        <f>K14+Metrics!L6</f>
        <v>54</v>
      </c>
      <c r="M14" s="2">
        <f>L14+Metrics!M6</f>
        <v>60</v>
      </c>
      <c r="N14" s="2">
        <f>M14+Metrics!N6</f>
        <v>62</v>
      </c>
      <c r="O14" s="2">
        <f>N14+Metrics!O6</f>
        <v>67</v>
      </c>
      <c r="P14" s="2">
        <f>O14+Metrics!P6</f>
        <v>167</v>
      </c>
      <c r="Q14" s="2">
        <f>IF(Q6="","",P14+Metrics!Q6)</f>
        <v>200</v>
      </c>
      <c r="R14" s="2">
        <f>IF(R6="","",Q14+Metrics!R6)</f>
        <v>238</v>
      </c>
      <c r="S14" s="2">
        <f>IF(S6="","",R14+Metrics!S6)</f>
        <v>298</v>
      </c>
      <c r="T14" s="2">
        <f>IF(T6="","",S14+Metrics!T6)</f>
        <v>360</v>
      </c>
      <c r="U14" s="2">
        <f>IF(U6="","",T14+Metrics!U6)</f>
        <v>367</v>
      </c>
      <c r="V14" s="2">
        <f>IF(V6="","",U14+Metrics!V6)</f>
        <v>367</v>
      </c>
      <c r="W14" s="2">
        <f>IF(W6="","",V14+Metrics!W6)</f>
        <v>505</v>
      </c>
      <c r="X14" s="2">
        <f>IF(X6="","",W14+Metrics!X6)</f>
        <v>509</v>
      </c>
      <c r="Y14" s="2">
        <f>IF(Y6="","",X14+Metrics!Y6)</f>
        <v>510</v>
      </c>
      <c r="Z14" s="2">
        <f>IF(Z6="","",Y14+Metrics!Z6)</f>
        <v>548</v>
      </c>
      <c r="AA14" s="2">
        <f>IF(AA6="","",Z14+Metrics!AA6)</f>
        <v>586</v>
      </c>
      <c r="AB14" s="2">
        <f>IF(AB6="","",AA14+Metrics!AB6)</f>
        <v>586</v>
      </c>
      <c r="AC14" s="2">
        <f>IF(AC6="","",AB14+Metrics!AC6)</f>
        <v>586</v>
      </c>
      <c r="AD14" s="2">
        <f>IF(AD6="","",AC14+Metrics!AD6)</f>
        <v>586</v>
      </c>
      <c r="AE14" s="2">
        <f>IF(AE6="","",AD14+Metrics!AE6)</f>
        <v>586</v>
      </c>
      <c r="AF14" s="2">
        <f>IF(AF6="","",AD14+Metrics!AF6)</f>
        <v>586</v>
      </c>
      <c r="AG14" s="2">
        <f>IF(AG6="","",AE14+Metrics!AG6)</f>
        <v>586</v>
      </c>
      <c r="AH14" s="2">
        <f>IF(AH6="","",AF14+Metrics!AH6)</f>
        <v>586</v>
      </c>
      <c r="AI14" s="2">
        <f>IF(AI6="","",AG14+Metrics!AI6)</f>
        <v>586</v>
      </c>
      <c r="AJ14" s="2">
        <f>IF(AJ6="","",AH14+Metrics!AJ6)</f>
        <v>586</v>
      </c>
      <c r="AK14" s="2">
        <f>IF(AK6="","",AI14+Metrics!AK6)</f>
        <v>586</v>
      </c>
      <c r="AL14" s="2">
        <f>IF(AL6="","",AJ14+Metrics!AL6)</f>
        <v>586</v>
      </c>
      <c r="AM14" s="2">
        <f>IF(AM6="","",AK14+Metrics!AM6)</f>
        <v>586</v>
      </c>
      <c r="AN14" s="2">
        <f>IF(AN6="","",AL14+Metrics!AN6)</f>
        <v>586</v>
      </c>
      <c r="AO14" s="2">
        <f>IF(AO6="","",AM14+Metrics!AO6)</f>
        <v>586</v>
      </c>
      <c r="AP14" s="2">
        <f>IF(AP6="","",AN14+Metrics!AP6)</f>
        <v>586</v>
      </c>
      <c r="AQ14" s="2">
        <f>IF(AQ6="","",AO14+Metrics!AQ6)</f>
        <v>586</v>
      </c>
      <c r="AR14" s="2">
        <f>IF(AR6="","",AP14+Metrics!AR6)</f>
        <v>586</v>
      </c>
      <c r="AS14" s="2">
        <f>IF(AS6="","",AQ14+Metrics!AS6)</f>
        <v>586</v>
      </c>
      <c r="AT14" s="2">
        <f>IF(AT6="","",AR14+Metrics!AT6)</f>
        <v>586</v>
      </c>
      <c r="AU14" s="2">
        <f>IF(AU6="","",AT14+Metrics!AU6)</f>
        <v>586</v>
      </c>
      <c r="AV14" s="2">
        <f>IF(AV6="","",AU14+Metrics!AV6)</f>
        <v>586</v>
      </c>
      <c r="AW14" s="2">
        <f>IF(AW6="","",AV14+Metrics!AW6)</f>
        <v>586</v>
      </c>
      <c r="AX14" s="2">
        <f>IF(AX6="","",AW14+Metrics!AX6)</f>
        <v>586</v>
      </c>
      <c r="AY14" s="2">
        <f>IF(AY6="","",AX14+Metrics!AY6)</f>
        <v>586</v>
      </c>
      <c r="AZ14" s="2">
        <f>IF(AZ6="","",AY14+Metrics!AZ6)</f>
        <v>586</v>
      </c>
      <c r="BA14" s="2">
        <f>IF(BA6="","",AZ14+Metrics!BA6)</f>
        <v>586</v>
      </c>
      <c r="BB14" s="2">
        <f>IF(BB6="","",BA14+Metrics!BB6)</f>
        <v>586</v>
      </c>
      <c r="BC14" s="2">
        <f>IF(BC6="","",BB14+Metrics!BC6)</f>
        <v>586</v>
      </c>
      <c r="BD14" s="2">
        <f>IF(BD6="","",BC14+Metrics!BD6)</f>
        <v>586</v>
      </c>
      <c r="BE14" s="2">
        <f>IF(BE6="","",BD14+Metrics!BE6)</f>
        <v>586</v>
      </c>
      <c r="BF14" s="2">
        <f>IF(BF6="","",BE14+Metrics!BF6)</f>
        <v>586</v>
      </c>
      <c r="BG14" s="2">
        <f>IF(BG6="","",BF14+Metrics!BG6)</f>
        <v>586</v>
      </c>
      <c r="BH14" s="2">
        <f>IF(BH6="","",BG14+Metrics!BH6)</f>
        <v>586</v>
      </c>
      <c r="BI14" s="2">
        <f>IF(BI6="","",BH14+Metrics!BI6)</f>
        <v>586</v>
      </c>
      <c r="BJ14" s="2">
        <f>IF(BJ6="","",BI14+Metrics!BJ6)</f>
        <v>586</v>
      </c>
      <c r="BK14" s="2">
        <f>IF(BK6="","",BJ14+Metrics!BK6)</f>
        <v>586</v>
      </c>
      <c r="BL14" s="2">
        <f>IF(BL6="","",BK14+Metrics!BL6)</f>
        <v>586</v>
      </c>
      <c r="BM14" s="2">
        <f>IF(BM6="","",BL14+Metrics!BM6)</f>
        <v>586</v>
      </c>
      <c r="BN14" s="2">
        <f>IF(BN6="","",BM14+Metrics!BN6)</f>
        <v>586</v>
      </c>
      <c r="BO14" s="2">
        <f>IF(BO6="","",BN14+Metrics!BO6)</f>
        <v>586</v>
      </c>
      <c r="BP14" s="2">
        <f>IF(BP6="","",BO14+Metrics!BP6)</f>
        <v>586</v>
      </c>
      <c r="BQ14" s="2">
        <f>IF(BQ6="","",BP14+Metrics!BQ6)</f>
        <v>586</v>
      </c>
      <c r="BR14" s="2">
        <f>IF(BR6="","",BQ14+Metrics!BR6)</f>
        <v>586</v>
      </c>
      <c r="BS14" s="2">
        <f>IF(BS6="","",BR14+Metrics!BS6)</f>
        <v>586</v>
      </c>
      <c r="BT14" s="2">
        <f>IF(BT6="","",BS14+Metrics!BT6)</f>
        <v>586</v>
      </c>
      <c r="BU14" s="2">
        <f>IF(BU6="","",BT14+Metrics!BU6)</f>
        <v>586</v>
      </c>
      <c r="BV14" s="2">
        <f>IF(BV6="","",BU14+Metrics!BV6)</f>
        <v>586</v>
      </c>
      <c r="BW14" s="2">
        <f>IF(BW6="","",BV14+Metrics!BW6)</f>
        <v>586</v>
      </c>
      <c r="BX14" s="2">
        <f>IF(BX6="","",BW14+Metrics!BX6)</f>
        <v>586</v>
      </c>
      <c r="BY14" s="2">
        <f>IF(BY6="","",BX14+Metrics!BY6)</f>
        <v>586</v>
      </c>
      <c r="BZ14" s="2">
        <f>IF(BZ6="","",BY14+Metrics!BZ6)</f>
        <v>586</v>
      </c>
      <c r="CA14" s="2">
        <f>IF(CA6="","",BZ14+Metrics!CA6)</f>
        <v>586</v>
      </c>
      <c r="CB14" s="2">
        <f>IF(CB6="","",CA14+Metrics!CB6)</f>
        <v>586</v>
      </c>
      <c r="CC14" s="2">
        <f>IF(CC6="","",CB14+Metrics!CC6)</f>
        <v>586</v>
      </c>
      <c r="CD14" s="2">
        <f>IF(CD6="","",CC14+Metrics!CD6)</f>
        <v>586</v>
      </c>
      <c r="CE14" s="2">
        <f>IF(CE6="","",CD14+Metrics!CE6)</f>
        <v>586</v>
      </c>
      <c r="CF14" s="2">
        <f>IF(CF6="","",CE14+Metrics!CF6)</f>
        <v>586</v>
      </c>
      <c r="CG14" s="2">
        <f>IF(CG6="","",CF14+Metrics!CG6)</f>
        <v>586</v>
      </c>
      <c r="CH14" s="2">
        <f>IF(CH6="","",CG14+Metrics!CH6)</f>
        <v>586</v>
      </c>
      <c r="CI14" s="2">
        <f>IF(CI6="","",CH14+Metrics!CI6)</f>
        <v>586</v>
      </c>
      <c r="CJ14" s="2">
        <f>IF(CJ6="","",CI14+Metrics!CJ6)</f>
        <v>586</v>
      </c>
      <c r="CK14" s="2">
        <f>IF(CK6="","",CJ14+Metrics!CK6)</f>
        <v>586</v>
      </c>
      <c r="CL14" s="2">
        <f>IF(CL6="","",CK14+Metrics!CL6)</f>
        <v>586</v>
      </c>
      <c r="CM14" s="2">
        <f>IF(CM6="","",CL14+Metrics!CM6)</f>
        <v>586</v>
      </c>
      <c r="CN14" s="2">
        <f>IF(CN6="","",CM14+Metrics!CN6)</f>
        <v>586</v>
      </c>
      <c r="CO14" s="2">
        <f>IF(CO6="","",CN14+Metrics!CO6)</f>
        <v>586</v>
      </c>
      <c r="CP14" s="2">
        <f>IF(CP6="","",CO14+Metrics!CP6)</f>
        <v>586</v>
      </c>
      <c r="CQ14" s="2">
        <f>IF(CQ6="","",CP14+Metrics!CQ6)</f>
        <v>586</v>
      </c>
      <c r="CR14" s="2">
        <f>IF(CR6="","",CQ14+Metrics!CR6)</f>
        <v>586</v>
      </c>
      <c r="CS14" s="2">
        <f>IF(CS6="","",CR14+Metrics!CS6)</f>
        <v>586</v>
      </c>
      <c r="CT14" s="2">
        <f>IF(CT6="","",CS14+Metrics!CT6)</f>
        <v>586</v>
      </c>
      <c r="CU14" s="2">
        <f>IF(CU6="","",CT14+Metrics!CU6)</f>
        <v>586</v>
      </c>
      <c r="CV14" s="2">
        <f>IF(CV6="","",CU14+Metrics!CV6)</f>
        <v>586</v>
      </c>
      <c r="CW14" s="2">
        <f>IF(CW6="","",CV14+Metrics!CW6)</f>
        <v>586</v>
      </c>
      <c r="CX14" s="2">
        <f>IF(CX6="","",CW14+Metrics!CX6)</f>
        <v>586</v>
      </c>
      <c r="CY14" s="2">
        <f>IF(CY6="","",CX14+Metrics!CY6)</f>
        <v>586</v>
      </c>
      <c r="CZ14" s="2">
        <f>IF(CZ6="","",CY14+Metrics!CZ6)</f>
        <v>586</v>
      </c>
      <c r="DA14" s="2">
        <f>IF(DA6="","",CZ14+Metrics!DA6)</f>
        <v>586</v>
      </c>
      <c r="DB14" s="2">
        <f>IF(DB6="","",DA14+Metrics!DB6)</f>
        <v>586</v>
      </c>
      <c r="DC14" s="2">
        <f>IF(DC6="","",DB14+Metrics!DC6)</f>
        <v>586</v>
      </c>
      <c r="DD14" s="2">
        <f>IF(DD6="","",DC14+Metrics!DD6)</f>
        <v>586</v>
      </c>
      <c r="DE14" s="2">
        <f>IF(DE6="","",DD14+Metrics!DE6)</f>
        <v>586</v>
      </c>
      <c r="DF14" s="2">
        <f>IF(DF6="","",DE14+Metrics!DF6)</f>
        <v>586</v>
      </c>
      <c r="DG14" s="2">
        <f>IF(DG6="","",DF14+Metrics!DG6)</f>
        <v>586</v>
      </c>
      <c r="DH14" s="2">
        <f>IF(DH6="","",DG14+Metrics!DH6)</f>
        <v>586</v>
      </c>
      <c r="DI14" s="2">
        <f>IF(DI6="","",DH14+Metrics!DI6)</f>
        <v>586</v>
      </c>
      <c r="DJ14" s="2">
        <f>IF(DJ6="","",DI14+Metrics!DJ6)</f>
        <v>586</v>
      </c>
      <c r="DK14" s="2">
        <f>IF(DK6="","",DJ14+Metrics!DK6)</f>
        <v>586</v>
      </c>
      <c r="DM14" s="10"/>
      <c r="DN14" s="10"/>
      <c r="DO14" s="10"/>
      <c r="DP14" s="10"/>
      <c r="DQ14" s="10"/>
      <c r="DR14" s="10"/>
      <c r="DS14" s="10"/>
      <c r="DT14" s="10"/>
      <c r="DU14" s="10"/>
    </row>
    <row r="15" spans="1:127" ht="15.75" thickBot="1" x14ac:dyDescent="0.3">
      <c r="A15" s="6" t="s">
        <v>11</v>
      </c>
      <c r="B15" s="2">
        <f>Metrics!B7</f>
        <v>0</v>
      </c>
      <c r="C15" s="2">
        <f>B15+Metrics!C7</f>
        <v>0</v>
      </c>
      <c r="D15" s="2">
        <f>C15+Metrics!D7</f>
        <v>0</v>
      </c>
      <c r="E15" s="2">
        <f>D15+Metrics!E7</f>
        <v>0</v>
      </c>
      <c r="F15" s="2">
        <f>E15+Metrics!F7</f>
        <v>0</v>
      </c>
      <c r="G15" s="2">
        <f>F15+Metrics!G7</f>
        <v>0</v>
      </c>
      <c r="H15" s="2">
        <f>G15+Metrics!H7</f>
        <v>0</v>
      </c>
      <c r="I15" s="2">
        <f>H15+Metrics!I7</f>
        <v>0</v>
      </c>
      <c r="J15" s="2">
        <f>I15+Metrics!J7</f>
        <v>0</v>
      </c>
      <c r="K15" s="2">
        <f>J15+Metrics!K7</f>
        <v>0</v>
      </c>
      <c r="L15" s="2">
        <f>K15+Metrics!L7</f>
        <v>0</v>
      </c>
      <c r="M15" s="2">
        <f>L15+Metrics!M7</f>
        <v>1</v>
      </c>
      <c r="N15" s="2">
        <f>M15+Metrics!N7</f>
        <v>1</v>
      </c>
      <c r="O15" s="2">
        <f>N15+Metrics!O7</f>
        <v>1</v>
      </c>
      <c r="P15" s="2">
        <f>O15+Metrics!P7</f>
        <v>1</v>
      </c>
      <c r="Q15" s="2">
        <f>IF(Q7="","",P15+Metrics!Q7)</f>
        <v>1</v>
      </c>
      <c r="R15" s="2">
        <f>IF(R7="","",Q15+Metrics!R7)</f>
        <v>1</v>
      </c>
      <c r="S15" s="2">
        <f>IF(S7="","",R15+Metrics!S7)</f>
        <v>1</v>
      </c>
      <c r="T15" s="2">
        <f>IF(T7="","",S15+Metrics!T7)</f>
        <v>1</v>
      </c>
      <c r="U15" s="2">
        <f>IF(U7="","",T15+Metrics!U7)</f>
        <v>1</v>
      </c>
      <c r="V15" s="2">
        <f>IF(V7="","",U15+Metrics!V7)</f>
        <v>1</v>
      </c>
      <c r="W15" s="2">
        <f>IF(W7="","",V15+Metrics!W7)</f>
        <v>1</v>
      </c>
      <c r="X15" s="2">
        <f>IF(X7="","",W15+Metrics!X7)</f>
        <v>1</v>
      </c>
      <c r="Y15" s="2">
        <f>IF(Y7="","",X15+Metrics!Y7)</f>
        <v>1</v>
      </c>
      <c r="Z15" s="2">
        <f>IF(Z7="","",Y15+Metrics!Z7)</f>
        <v>1</v>
      </c>
      <c r="AA15" s="2">
        <f>IF(AA7="","",Z15+Metrics!AA7)</f>
        <v>1</v>
      </c>
      <c r="AB15" s="2">
        <f>IF(AB7="","",AA15+Metrics!AB7)</f>
        <v>1</v>
      </c>
      <c r="AC15" s="2">
        <f>IF(AC7="","",AB15+Metrics!AC7)</f>
        <v>1</v>
      </c>
      <c r="AD15" s="2">
        <f>IF(AD7="","",AC15+Metrics!AD7)</f>
        <v>1</v>
      </c>
      <c r="AE15" s="2">
        <f>IF(AE7="","",AD15+Metrics!AE7)</f>
        <v>1</v>
      </c>
      <c r="AF15" s="2">
        <f>IF(AF7="","",AD15+Metrics!AF7)</f>
        <v>1</v>
      </c>
      <c r="AG15" s="2">
        <f>IF(AG7="","",AE15+Metrics!AG7)</f>
        <v>1</v>
      </c>
      <c r="AH15" s="2">
        <f>IF(AH7="","",AF15+Metrics!AH7)</f>
        <v>1</v>
      </c>
      <c r="AI15" s="2">
        <f>IF(AI7="","",AG15+Metrics!AI7)</f>
        <v>1</v>
      </c>
      <c r="AJ15" s="2">
        <f>IF(AJ7="","",AH15+Metrics!AJ7)</f>
        <v>1</v>
      </c>
      <c r="AK15" s="2">
        <f>IF(AK7="","",AI15+Metrics!AK7)</f>
        <v>1</v>
      </c>
      <c r="AL15" s="2">
        <f>IF(AL7="","",AJ15+Metrics!AL7)</f>
        <v>1</v>
      </c>
      <c r="AM15" s="2">
        <f>IF(AM7="","",AK15+Metrics!AM7)</f>
        <v>1</v>
      </c>
      <c r="AN15" s="2">
        <f>IF(AN7="","",AL15+Metrics!AN7)</f>
        <v>1</v>
      </c>
      <c r="AO15" s="2">
        <f>IF(AO7="","",AM15+Metrics!AO7)</f>
        <v>1</v>
      </c>
      <c r="AP15" s="2">
        <f>IF(AP7="","",AN15+Metrics!AP7)</f>
        <v>1</v>
      </c>
      <c r="AQ15" s="2">
        <f>IF(AQ7="","",AO15+Metrics!AQ7)</f>
        <v>1</v>
      </c>
      <c r="AR15" s="2">
        <f>IF(AR7="","",AP15+Metrics!AR7)</f>
        <v>1</v>
      </c>
      <c r="AS15" s="2">
        <f>IF(AS7="","",AQ15+Metrics!AS7)</f>
        <v>1</v>
      </c>
      <c r="AT15" s="2">
        <f>IF(AT7="","",AR15+Metrics!AT7)</f>
        <v>1</v>
      </c>
      <c r="AU15" s="2">
        <f>IF(AU7="","",AT15+Metrics!AU7)</f>
        <v>1</v>
      </c>
      <c r="AV15" s="2">
        <f>IF(AV7="","",AU15+Metrics!AV7)</f>
        <v>1</v>
      </c>
      <c r="AW15" s="2">
        <f>IF(AW7="","",AV15+Metrics!AW7)</f>
        <v>1</v>
      </c>
      <c r="AX15" s="2">
        <f>IF(AX7="","",AW15+Metrics!AX7)</f>
        <v>1</v>
      </c>
      <c r="AY15" s="2">
        <f>IF(AY7="","",AX15+Metrics!AY7)</f>
        <v>1</v>
      </c>
      <c r="AZ15" s="2">
        <f>IF(AZ7="","",AY15+Metrics!AZ7)</f>
        <v>1</v>
      </c>
      <c r="BA15" s="2">
        <f>IF(BA7="","",AZ15+Metrics!BA7)</f>
        <v>1</v>
      </c>
      <c r="BB15" s="2">
        <f>IF(BB7="","",BA15+Metrics!BB7)</f>
        <v>1</v>
      </c>
      <c r="BC15" s="2">
        <f>IF(BC7="","",BB15+Metrics!BC7)</f>
        <v>1</v>
      </c>
      <c r="BD15" s="2">
        <f>IF(BD7="","",BC15+Metrics!BD7)</f>
        <v>1</v>
      </c>
      <c r="BE15" s="2">
        <f>IF(BE7="","",BD15+Metrics!BE7)</f>
        <v>1</v>
      </c>
      <c r="BF15" s="2">
        <f>IF(BF7="","",BE15+Metrics!BF7)</f>
        <v>1</v>
      </c>
      <c r="BG15" s="2">
        <f>IF(BG7="","",BF15+Metrics!BG7)</f>
        <v>1</v>
      </c>
      <c r="BH15" s="2">
        <f>IF(BH7="","",BG15+Metrics!BH7)</f>
        <v>1</v>
      </c>
      <c r="BI15" s="2">
        <f>IF(BI7="","",BH15+Metrics!BI7)</f>
        <v>1</v>
      </c>
      <c r="BJ15" s="2">
        <f>IF(BJ7="","",BI15+Metrics!BJ7)</f>
        <v>1</v>
      </c>
      <c r="BK15" s="2">
        <f>IF(BK7="","",BJ15+Metrics!BK7)</f>
        <v>1</v>
      </c>
      <c r="BL15" s="2">
        <f>IF(BL7="","",BK15+Metrics!BL7)</f>
        <v>1</v>
      </c>
      <c r="BM15" s="2">
        <f>IF(BM7="","",BL15+Metrics!BM7)</f>
        <v>1</v>
      </c>
      <c r="BN15" s="2">
        <f>IF(BN7="","",BM15+Metrics!BN7)</f>
        <v>1</v>
      </c>
      <c r="BO15" s="2">
        <f>IF(BO7="","",BN15+Metrics!BO7)</f>
        <v>1</v>
      </c>
      <c r="BP15" s="2">
        <f>IF(BP7="","",BO15+Metrics!BP7)</f>
        <v>1</v>
      </c>
      <c r="BQ15" s="2">
        <f>IF(BQ7="","",BP15+Metrics!BQ7)</f>
        <v>1</v>
      </c>
      <c r="BR15" s="2">
        <f>IF(BR7="","",BQ15+Metrics!BR7)</f>
        <v>1</v>
      </c>
      <c r="BS15" s="2">
        <f>IF(BS7="","",BR15+Metrics!BS7)</f>
        <v>1</v>
      </c>
      <c r="BT15" s="2">
        <f>IF(BT7="","",BS15+Metrics!BT7)</f>
        <v>1</v>
      </c>
      <c r="BU15" s="2">
        <f>IF(BU7="","",BT15+Metrics!BU7)</f>
        <v>1</v>
      </c>
      <c r="BV15" s="2">
        <f>IF(BV7="","",BU15+Metrics!BV7)</f>
        <v>1</v>
      </c>
      <c r="BW15" s="2">
        <f>IF(BW7="","",BV15+Metrics!BW7)</f>
        <v>1</v>
      </c>
      <c r="BX15" s="2">
        <f>IF(BX7="","",BW15+Metrics!BX7)</f>
        <v>1</v>
      </c>
      <c r="BY15" s="2">
        <f>IF(BY7="","",BX15+Metrics!BY7)</f>
        <v>1</v>
      </c>
      <c r="BZ15" s="2">
        <f>IF(BZ7="","",BY15+Metrics!BZ7)</f>
        <v>1</v>
      </c>
      <c r="CA15" s="2">
        <f>IF(CA7="","",BZ15+Metrics!CA7)</f>
        <v>1</v>
      </c>
      <c r="CB15" s="2">
        <f>IF(CB7="","",CA15+Metrics!CB7)</f>
        <v>1</v>
      </c>
      <c r="CC15" s="2">
        <f>IF(CC7="","",CB15+Metrics!CC7)</f>
        <v>1</v>
      </c>
      <c r="CD15" s="2">
        <f>IF(CD7="","",CC15+Metrics!CD7)</f>
        <v>1</v>
      </c>
      <c r="CE15" s="2">
        <f>IF(CE7="","",CD15+Metrics!CE7)</f>
        <v>1</v>
      </c>
      <c r="CF15" s="2">
        <f>IF(CF7="","",CE15+Metrics!CF7)</f>
        <v>1</v>
      </c>
      <c r="CG15" s="2">
        <f>IF(CG7="","",CF15+Metrics!CG7)</f>
        <v>1</v>
      </c>
      <c r="CH15" s="2">
        <f>IF(CH7="","",CG15+Metrics!CH7)</f>
        <v>1</v>
      </c>
      <c r="CI15" s="2">
        <f>IF(CI7="","",CH15+Metrics!CI7)</f>
        <v>1</v>
      </c>
      <c r="CJ15" s="2">
        <f>IF(CJ7="","",CI15+Metrics!CJ7)</f>
        <v>1</v>
      </c>
      <c r="CK15" s="2">
        <f>IF(CK7="","",CJ15+Metrics!CK7)</f>
        <v>1</v>
      </c>
      <c r="CL15" s="2">
        <f>IF(CL7="","",CK15+Metrics!CL7)</f>
        <v>1</v>
      </c>
      <c r="CM15" s="2">
        <f>IF(CM7="","",CL15+Metrics!CM7)</f>
        <v>1</v>
      </c>
      <c r="CN15" s="2">
        <f>IF(CN7="","",CM15+Metrics!CN7)</f>
        <v>1</v>
      </c>
      <c r="CO15" s="2">
        <f>IF(CO7="","",CN15+Metrics!CO7)</f>
        <v>1</v>
      </c>
      <c r="CP15" s="2">
        <f>IF(CP7="","",CO15+Metrics!CP7)</f>
        <v>1</v>
      </c>
      <c r="CQ15" s="2">
        <f>IF(CQ7="","",CP15+Metrics!CQ7)</f>
        <v>1</v>
      </c>
      <c r="CR15" s="2">
        <f>IF(CR7="","",CQ15+Metrics!CR7)</f>
        <v>1</v>
      </c>
      <c r="CS15" s="2">
        <f>IF(CS7="","",CR15+Metrics!CS7)</f>
        <v>1</v>
      </c>
      <c r="CT15" s="2">
        <f>IF(CT7="","",CS15+Metrics!CT7)</f>
        <v>1</v>
      </c>
      <c r="CU15" s="2">
        <f>IF(CU7="","",CT15+Metrics!CU7)</f>
        <v>1</v>
      </c>
      <c r="CV15" s="2">
        <f>IF(CV7="","",CU15+Metrics!CV7)</f>
        <v>1</v>
      </c>
      <c r="CW15" s="2">
        <f>IF(CW7="","",CV15+Metrics!CW7)</f>
        <v>1</v>
      </c>
      <c r="CX15" s="2">
        <f>IF(CX7="","",CW15+Metrics!CX7)</f>
        <v>1</v>
      </c>
      <c r="CY15" s="2">
        <f>IF(CY7="","",CX15+Metrics!CY7)</f>
        <v>1</v>
      </c>
      <c r="CZ15" s="2">
        <f>IF(CZ7="","",CY15+Metrics!CZ7)</f>
        <v>1</v>
      </c>
      <c r="DA15" s="2">
        <f>IF(DA7="","",CZ15+Metrics!DA7)</f>
        <v>1</v>
      </c>
      <c r="DB15" s="2">
        <f>IF(DB7="","",DA15+Metrics!DB7)</f>
        <v>1</v>
      </c>
      <c r="DC15" s="2">
        <f>IF(DC7="","",DB15+Metrics!DC7)</f>
        <v>1</v>
      </c>
      <c r="DD15" s="2">
        <f>IF(DD7="","",DC15+Metrics!DD7)</f>
        <v>1</v>
      </c>
      <c r="DE15" s="2">
        <f>IF(DE7="","",DD15+Metrics!DE7)</f>
        <v>1</v>
      </c>
      <c r="DF15" s="2">
        <f>IF(DF7="","",DE15+Metrics!DF7)</f>
        <v>1</v>
      </c>
      <c r="DG15" s="2">
        <f>IF(DG7="","",DF15+Metrics!DG7)</f>
        <v>1</v>
      </c>
      <c r="DH15" s="2">
        <f>IF(DH7="","",DG15+Metrics!DH7)</f>
        <v>1</v>
      </c>
      <c r="DI15" s="2">
        <f>IF(DI7="","",DH15+Metrics!DI7)</f>
        <v>1</v>
      </c>
      <c r="DJ15" s="2">
        <f>IF(DJ7="","",DI15+Metrics!DJ7)</f>
        <v>1</v>
      </c>
      <c r="DK15" s="2">
        <f>IF(DK7="","",DJ15+Metrics!DK7)</f>
        <v>1</v>
      </c>
      <c r="DM15" s="10"/>
      <c r="DN15" s="10"/>
      <c r="DO15" s="10"/>
      <c r="DP15" s="10"/>
      <c r="DQ15" s="10"/>
      <c r="DR15" s="10"/>
      <c r="DS15" s="10"/>
      <c r="DT15" s="10"/>
      <c r="DU15" s="10"/>
    </row>
    <row r="16" spans="1:127" s="2" customFormat="1" ht="15.75" thickBot="1" x14ac:dyDescent="0.3">
      <c r="A16" s="20" t="s">
        <v>1</v>
      </c>
      <c r="B16" s="22">
        <f t="shared" ref="B16:W16" si="29">SUM(B10:B15)</f>
        <v>142</v>
      </c>
      <c r="C16" s="22">
        <f t="shared" si="29"/>
        <v>361</v>
      </c>
      <c r="D16" s="22">
        <f t="shared" si="29"/>
        <v>882</v>
      </c>
      <c r="E16" s="22">
        <f t="shared" si="29"/>
        <v>995</v>
      </c>
      <c r="F16" s="22">
        <f t="shared" si="29"/>
        <v>1215</v>
      </c>
      <c r="G16" s="22">
        <f t="shared" si="29"/>
        <v>1657</v>
      </c>
      <c r="H16" s="22">
        <f t="shared" si="29"/>
        <v>1933</v>
      </c>
      <c r="I16" s="22">
        <f t="shared" si="29"/>
        <v>2087</v>
      </c>
      <c r="J16" s="22">
        <f t="shared" si="29"/>
        <v>2615</v>
      </c>
      <c r="K16" s="22">
        <f t="shared" si="29"/>
        <v>3523</v>
      </c>
      <c r="L16" s="22">
        <f t="shared" si="29"/>
        <v>4024</v>
      </c>
      <c r="M16" s="22">
        <f t="shared" si="29"/>
        <v>4785</v>
      </c>
      <c r="N16" s="22">
        <f t="shared" si="29"/>
        <v>4986</v>
      </c>
      <c r="O16" s="22">
        <f t="shared" si="29"/>
        <v>5494</v>
      </c>
      <c r="P16" s="22">
        <f t="shared" si="29"/>
        <v>5770</v>
      </c>
      <c r="Q16" s="22">
        <f t="shared" si="29"/>
        <v>5919</v>
      </c>
      <c r="R16" s="22">
        <f t="shared" si="29"/>
        <v>6109</v>
      </c>
      <c r="S16" s="22">
        <f t="shared" si="29"/>
        <v>6794</v>
      </c>
      <c r="T16" s="22">
        <f t="shared" si="29"/>
        <v>7775</v>
      </c>
      <c r="U16" s="22">
        <f t="shared" si="29"/>
        <v>8460</v>
      </c>
      <c r="V16" s="22">
        <f t="shared" si="29"/>
        <v>8849</v>
      </c>
      <c r="W16" s="22">
        <f t="shared" si="29"/>
        <v>9306</v>
      </c>
      <c r="X16" s="22">
        <f t="shared" ref="X16:Y16" si="30">SUM(X10:X15)</f>
        <v>9525</v>
      </c>
      <c r="Y16" s="22">
        <f t="shared" si="30"/>
        <v>10058</v>
      </c>
      <c r="Z16" s="22">
        <f t="shared" ref="Z16:AA16" si="31">SUM(Z10:Z15)</f>
        <v>11187</v>
      </c>
      <c r="AA16" s="22">
        <f t="shared" si="31"/>
        <v>12316</v>
      </c>
      <c r="AB16" s="22">
        <f t="shared" ref="AB16:AC16" si="32">SUM(AB10:AB15)</f>
        <v>12757</v>
      </c>
      <c r="AC16" s="22">
        <f t="shared" si="32"/>
        <v>13491</v>
      </c>
      <c r="AD16" s="22">
        <f t="shared" ref="AD16" si="33">SUM(AD10:AD15)</f>
        <v>14078</v>
      </c>
      <c r="AE16" s="22">
        <f t="shared" ref="AE16:AG16" si="34">SUM(AE10:AE15)</f>
        <v>14877</v>
      </c>
      <c r="AF16" s="22">
        <f t="shared" ref="AF16" si="35">SUM(AF10:AF15)</f>
        <v>14851</v>
      </c>
      <c r="AG16" s="22">
        <f t="shared" si="34"/>
        <v>15379</v>
      </c>
      <c r="AH16" s="22">
        <f t="shared" ref="AH16:AI16" si="36">SUM(AH10:AH15)</f>
        <v>15495</v>
      </c>
      <c r="AI16" s="22">
        <f t="shared" si="36"/>
        <v>16377</v>
      </c>
      <c r="AJ16" s="22">
        <f t="shared" ref="AJ16" si="37">SUM(AJ10:AJ15)</f>
        <v>16711</v>
      </c>
      <c r="AK16" s="22">
        <f t="shared" ref="AK16:AL16" si="38">SUM(AK10:AK15)</f>
        <v>16723</v>
      </c>
      <c r="AL16" s="22">
        <f t="shared" si="38"/>
        <v>16965</v>
      </c>
      <c r="AM16" s="22">
        <f t="shared" ref="AM16:AN16" si="39">SUM(AM10:AM15)</f>
        <v>17312</v>
      </c>
      <c r="AN16" s="22">
        <f t="shared" si="39"/>
        <v>17355</v>
      </c>
      <c r="AO16" s="22">
        <f t="shared" ref="AO16:AP16" si="40">SUM(AO10:AO15)</f>
        <v>17732</v>
      </c>
      <c r="AP16" s="22">
        <f t="shared" si="40"/>
        <v>17775</v>
      </c>
      <c r="AQ16" s="22">
        <f t="shared" ref="AQ16" si="41">SUM(AQ10:AQ15)</f>
        <v>17969</v>
      </c>
      <c r="AR16" s="22">
        <f t="shared" ref="AR16" si="42">SUM(AR10:AR15)</f>
        <v>18093</v>
      </c>
      <c r="AS16" s="22">
        <f t="shared" ref="AS16" si="43">SUM(AS10:AS15)</f>
        <v>18179</v>
      </c>
      <c r="AT16" s="22">
        <f t="shared" ref="AT16" si="44">SUM(AT10:AT15)</f>
        <v>18292</v>
      </c>
      <c r="AU16" s="22">
        <f t="shared" ref="AU16:BB16" si="45">SUM(AU10:AU15)</f>
        <v>18547</v>
      </c>
      <c r="AV16" s="22">
        <f t="shared" si="45"/>
        <v>18587</v>
      </c>
      <c r="AW16" s="22">
        <f t="shared" si="45"/>
        <v>18683</v>
      </c>
      <c r="AX16" s="22">
        <f t="shared" si="45"/>
        <v>18761</v>
      </c>
      <c r="AY16" s="22">
        <f t="shared" si="45"/>
        <v>18885</v>
      </c>
      <c r="AZ16" s="22">
        <f t="shared" si="45"/>
        <v>18995</v>
      </c>
      <c r="BA16" s="22">
        <f t="shared" si="45"/>
        <v>19102</v>
      </c>
      <c r="BB16" s="22">
        <f t="shared" si="45"/>
        <v>19249</v>
      </c>
      <c r="BC16" s="22">
        <f t="shared" ref="BC16:BD16" si="46">SUM(BC10:BC15)</f>
        <v>19395</v>
      </c>
      <c r="BD16" s="22">
        <f t="shared" si="46"/>
        <v>19664</v>
      </c>
      <c r="BE16" s="22">
        <f t="shared" ref="BE16:BF16" si="47">SUM(BE10:BE15)</f>
        <v>19830</v>
      </c>
      <c r="BF16" s="22">
        <f t="shared" si="47"/>
        <v>20003</v>
      </c>
      <c r="BG16" s="22">
        <f t="shared" ref="BG16:BH16" si="48">SUM(BG10:BG15)</f>
        <v>20155</v>
      </c>
      <c r="BH16" s="22">
        <f t="shared" si="48"/>
        <v>20242</v>
      </c>
      <c r="BI16" s="22">
        <f t="shared" ref="BI16:BJ16" si="49">SUM(BI10:BI15)</f>
        <v>20339</v>
      </c>
      <c r="BJ16" s="22">
        <f t="shared" si="49"/>
        <v>20390</v>
      </c>
      <c r="BK16" s="22">
        <f t="shared" ref="BK16:BL16" si="50">SUM(BK10:BK15)</f>
        <v>20462</v>
      </c>
      <c r="BL16" s="22">
        <f t="shared" si="50"/>
        <v>20895</v>
      </c>
      <c r="BM16" s="22">
        <f t="shared" ref="BM16:BN16" si="51">SUM(BM10:BM15)</f>
        <v>21495</v>
      </c>
      <c r="BN16" s="22">
        <f t="shared" si="51"/>
        <v>21940</v>
      </c>
      <c r="BO16" s="22">
        <f t="shared" ref="BO16:BP16" si="52">SUM(BO10:BO15)</f>
        <v>22901</v>
      </c>
      <c r="BP16" s="22">
        <f t="shared" si="52"/>
        <v>23697</v>
      </c>
      <c r="BQ16" s="22">
        <f t="shared" ref="BQ16:BR16" si="53">SUM(BQ10:BQ15)</f>
        <v>24303</v>
      </c>
      <c r="BR16" s="22">
        <f t="shared" si="53"/>
        <v>25219</v>
      </c>
      <c r="BS16" s="22">
        <f t="shared" ref="BS16:BT16" si="54">SUM(BS10:BS15)</f>
        <v>25652</v>
      </c>
      <c r="BT16" s="22">
        <f t="shared" si="54"/>
        <v>26223</v>
      </c>
      <c r="BU16" s="22">
        <f t="shared" ref="BU16:BV16" si="55">SUM(BU10:BU15)</f>
        <v>27140</v>
      </c>
      <c r="BV16" s="22">
        <f t="shared" si="55"/>
        <v>28203</v>
      </c>
      <c r="BW16" s="22">
        <f t="shared" ref="BW16:BX16" si="56">SUM(BW10:BW15)</f>
        <v>28218</v>
      </c>
      <c r="BX16" s="22">
        <f t="shared" si="56"/>
        <v>28287</v>
      </c>
      <c r="BY16" s="22">
        <f t="shared" ref="BY16:BZ16" si="57">SUM(BY10:BY15)</f>
        <v>28405</v>
      </c>
      <c r="BZ16" s="22">
        <f t="shared" si="57"/>
        <v>28482</v>
      </c>
      <c r="CA16" s="22">
        <f t="shared" ref="CA16:CB16" si="58">SUM(CA10:CA15)</f>
        <v>28500</v>
      </c>
      <c r="CB16" s="22">
        <f t="shared" si="58"/>
        <v>28500</v>
      </c>
      <c r="CC16" s="22">
        <f t="shared" ref="CC16:CD16" si="59">SUM(CC10:CC15)</f>
        <v>28583</v>
      </c>
      <c r="CD16" s="22">
        <f t="shared" si="59"/>
        <v>28706</v>
      </c>
      <c r="CE16" s="22">
        <f t="shared" ref="CE16:CF16" si="60">SUM(CE10:CE15)</f>
        <v>29036</v>
      </c>
      <c r="CF16" s="22">
        <f t="shared" si="60"/>
        <v>29159</v>
      </c>
      <c r="CG16" s="22">
        <f t="shared" ref="CG16:CH16" si="61">SUM(CG10:CG15)</f>
        <v>29190</v>
      </c>
      <c r="CH16" s="22">
        <f t="shared" si="61"/>
        <v>29497</v>
      </c>
      <c r="CI16" s="22">
        <f t="shared" ref="CI16:CJ16" si="62">SUM(CI10:CI15)</f>
        <v>30356</v>
      </c>
      <c r="CJ16" s="22">
        <f t="shared" si="62"/>
        <v>31018</v>
      </c>
      <c r="CK16" s="22">
        <f t="shared" ref="CK16:CL16" si="63">SUM(CK10:CK15)</f>
        <v>31865</v>
      </c>
      <c r="CL16" s="22">
        <f t="shared" si="63"/>
        <v>32988</v>
      </c>
      <c r="CM16" s="22">
        <f t="shared" ref="CM16" si="64">SUM(CM10:CM15)</f>
        <v>33958</v>
      </c>
      <c r="CN16" s="22">
        <f t="shared" ref="CN16:CT16" si="65">SUM(CN10:CN15)</f>
        <v>34507</v>
      </c>
      <c r="CO16" s="22">
        <f t="shared" si="65"/>
        <v>34842</v>
      </c>
      <c r="CP16" s="22">
        <f t="shared" si="65"/>
        <v>35251</v>
      </c>
      <c r="CQ16" s="22">
        <f t="shared" si="65"/>
        <v>35600</v>
      </c>
      <c r="CR16" s="22">
        <f t="shared" si="65"/>
        <v>35974</v>
      </c>
      <c r="CS16" s="22">
        <f t="shared" si="65"/>
        <v>36568</v>
      </c>
      <c r="CT16" s="22">
        <f t="shared" si="65"/>
        <v>36902</v>
      </c>
      <c r="CU16" s="22">
        <f t="shared" ref="CU16:CV16" si="66">SUM(CU10:CU15)</f>
        <v>37344</v>
      </c>
      <c r="CV16" s="22">
        <f t="shared" si="66"/>
        <v>37696</v>
      </c>
      <c r="CW16" s="22">
        <f t="shared" ref="CW16:CX16" si="67">SUM(CW10:CW15)</f>
        <v>38160</v>
      </c>
      <c r="CX16" s="22">
        <f t="shared" si="67"/>
        <v>38921</v>
      </c>
      <c r="CY16" s="22">
        <f t="shared" ref="CY16:CZ16" si="68">SUM(CY10:CY15)</f>
        <v>39611</v>
      </c>
      <c r="CZ16" s="22">
        <f t="shared" si="68"/>
        <v>40066</v>
      </c>
      <c r="DA16" s="22">
        <f t="shared" ref="DA16:DB16" si="69">SUM(DA10:DA15)</f>
        <v>40482</v>
      </c>
      <c r="DB16" s="22">
        <f t="shared" si="69"/>
        <v>41381</v>
      </c>
      <c r="DC16" s="22">
        <f t="shared" ref="DC16:DD16" si="70">SUM(DC10:DC15)</f>
        <v>41733</v>
      </c>
      <c r="DD16" s="22">
        <f t="shared" si="70"/>
        <v>42164</v>
      </c>
      <c r="DE16" s="22">
        <f t="shared" ref="DE16:DF16" si="71">SUM(DE10:DE15)</f>
        <v>42923</v>
      </c>
      <c r="DF16" s="22">
        <f t="shared" si="71"/>
        <v>43530</v>
      </c>
      <c r="DG16" s="22">
        <f t="shared" ref="DG16:DH16" si="72">SUM(DG10:DG15)</f>
        <v>44027</v>
      </c>
      <c r="DH16" s="22">
        <f t="shared" si="72"/>
        <v>44765</v>
      </c>
      <c r="DI16" s="22">
        <f t="shared" ref="DI16:DJ16" si="73">SUM(DI10:DI15)</f>
        <v>45522</v>
      </c>
      <c r="DJ16" s="22">
        <f t="shared" si="73"/>
        <v>46251</v>
      </c>
      <c r="DK16" s="22">
        <f t="shared" ref="DK16" si="74">SUM(DK10:DK15)</f>
        <v>46835</v>
      </c>
      <c r="DM16" s="18"/>
      <c r="DN16" s="18"/>
      <c r="DO16" s="18"/>
      <c r="DP16" s="18"/>
      <c r="DQ16" s="18"/>
      <c r="DR16" s="18"/>
      <c r="DS16" s="18"/>
      <c r="DT16" s="18"/>
      <c r="DU16" s="18"/>
    </row>
    <row r="17" spans="1:126" s="2" customFormat="1" ht="30" x14ac:dyDescent="0.25">
      <c r="A17" s="13" t="s">
        <v>15</v>
      </c>
      <c r="B17" s="14">
        <v>42430</v>
      </c>
      <c r="C17" s="14">
        <v>42461</v>
      </c>
      <c r="D17" s="14">
        <v>42491</v>
      </c>
      <c r="E17" s="14">
        <v>42522</v>
      </c>
      <c r="F17" s="14">
        <v>42552</v>
      </c>
      <c r="G17" s="14">
        <v>42583</v>
      </c>
      <c r="H17" s="14">
        <v>42614</v>
      </c>
      <c r="I17" s="14">
        <v>42644</v>
      </c>
      <c r="J17" s="14">
        <v>42675</v>
      </c>
      <c r="K17" s="14">
        <v>42705</v>
      </c>
      <c r="L17" s="14">
        <v>42736</v>
      </c>
      <c r="M17" s="14">
        <v>42767</v>
      </c>
      <c r="N17" s="14">
        <v>42795</v>
      </c>
      <c r="O17" s="14">
        <v>42826</v>
      </c>
      <c r="P17" s="14">
        <v>42856</v>
      </c>
      <c r="Q17" s="14">
        <v>42887</v>
      </c>
      <c r="R17" s="14">
        <v>42917</v>
      </c>
      <c r="S17" s="14">
        <v>42948</v>
      </c>
      <c r="T17" s="14">
        <v>42979</v>
      </c>
      <c r="U17" s="14">
        <v>43009</v>
      </c>
      <c r="V17" s="14">
        <v>43040</v>
      </c>
      <c r="W17" s="14">
        <v>43070</v>
      </c>
      <c r="X17" s="14">
        <v>43101</v>
      </c>
      <c r="Y17" s="14">
        <v>43132</v>
      </c>
      <c r="Z17" s="14">
        <v>43160</v>
      </c>
      <c r="AA17" s="14">
        <v>43191</v>
      </c>
      <c r="AB17" s="14">
        <v>43221</v>
      </c>
      <c r="AC17" s="14">
        <v>43696</v>
      </c>
      <c r="AD17" s="14">
        <v>43727</v>
      </c>
      <c r="AE17" s="17">
        <v>43739</v>
      </c>
      <c r="AF17" s="17">
        <v>43770</v>
      </c>
      <c r="AG17" s="17">
        <v>43800</v>
      </c>
      <c r="AH17" s="17">
        <v>43850</v>
      </c>
      <c r="AI17" s="17">
        <v>43881</v>
      </c>
      <c r="AJ17" s="17">
        <v>43910</v>
      </c>
      <c r="AK17" s="17">
        <v>43941</v>
      </c>
      <c r="AL17" s="17">
        <v>43971</v>
      </c>
      <c r="AM17" s="17">
        <v>44002</v>
      </c>
      <c r="AN17" s="17">
        <v>44032</v>
      </c>
      <c r="AO17" s="17">
        <v>44063</v>
      </c>
      <c r="AP17" s="17">
        <v>44095</v>
      </c>
      <c r="AQ17" s="17">
        <v>44125</v>
      </c>
      <c r="AR17" s="17">
        <v>44156</v>
      </c>
      <c r="AS17" s="17">
        <v>44186</v>
      </c>
      <c r="AT17" s="17">
        <v>44197</v>
      </c>
      <c r="AU17" s="17">
        <v>44229</v>
      </c>
      <c r="AV17" s="17">
        <v>44276</v>
      </c>
      <c r="AW17" s="17">
        <v>44307</v>
      </c>
      <c r="AX17" s="17">
        <v>44337</v>
      </c>
      <c r="AY17" s="17">
        <v>44368</v>
      </c>
      <c r="AZ17" s="17">
        <v>44398</v>
      </c>
      <c r="BA17" s="17">
        <v>44429</v>
      </c>
      <c r="BB17" s="17">
        <v>44460</v>
      </c>
      <c r="BC17" s="17">
        <v>44490</v>
      </c>
      <c r="BD17" s="17">
        <v>44521</v>
      </c>
      <c r="BE17" s="17">
        <v>44551</v>
      </c>
      <c r="BF17" s="17">
        <v>44583</v>
      </c>
      <c r="BG17" s="17">
        <v>44614</v>
      </c>
      <c r="BH17" s="17">
        <v>44642</v>
      </c>
      <c r="BI17" s="17">
        <v>44673</v>
      </c>
      <c r="BJ17" s="17">
        <v>44703</v>
      </c>
      <c r="BK17" s="17">
        <v>44734</v>
      </c>
      <c r="BL17" s="17">
        <v>44764</v>
      </c>
      <c r="BM17" s="17">
        <v>44795</v>
      </c>
      <c r="BN17" s="17">
        <v>44826</v>
      </c>
      <c r="BO17" s="17">
        <v>44856</v>
      </c>
      <c r="BP17" s="17">
        <v>44887</v>
      </c>
      <c r="BQ17" s="17">
        <v>44917</v>
      </c>
      <c r="BR17" s="17">
        <v>44948</v>
      </c>
      <c r="BS17" s="14">
        <v>44980</v>
      </c>
      <c r="BT17" s="14">
        <v>45008</v>
      </c>
      <c r="BU17" s="14">
        <v>45039</v>
      </c>
      <c r="BV17" s="14">
        <v>45069</v>
      </c>
      <c r="BW17" s="17">
        <v>45100</v>
      </c>
      <c r="BX17" s="14">
        <v>45130</v>
      </c>
      <c r="BY17" s="14">
        <v>45161</v>
      </c>
      <c r="BZ17" s="14">
        <v>45192</v>
      </c>
      <c r="CA17" s="14">
        <v>45222</v>
      </c>
      <c r="CB17" s="14">
        <v>45253</v>
      </c>
      <c r="CC17" s="14">
        <v>45283</v>
      </c>
      <c r="CD17" s="14">
        <v>45315</v>
      </c>
      <c r="CE17" s="14">
        <v>45346</v>
      </c>
      <c r="CF17" s="14">
        <v>45375</v>
      </c>
      <c r="CG17" s="14">
        <v>45406</v>
      </c>
      <c r="CH17" s="14">
        <v>45436</v>
      </c>
      <c r="CI17" s="14">
        <v>45467</v>
      </c>
      <c r="CJ17" s="14">
        <v>45497</v>
      </c>
      <c r="CK17" s="14">
        <v>45528</v>
      </c>
      <c r="CL17" s="14">
        <v>45559</v>
      </c>
      <c r="CM17" s="14">
        <v>45589</v>
      </c>
      <c r="CN17" s="14">
        <v>45621</v>
      </c>
      <c r="CO17" s="14">
        <v>45652</v>
      </c>
      <c r="CP17" s="14">
        <v>45684</v>
      </c>
      <c r="CQ17" s="14">
        <v>45716</v>
      </c>
      <c r="CR17" s="14">
        <v>45717</v>
      </c>
      <c r="CS17" s="14">
        <v>45749</v>
      </c>
      <c r="CT17" s="14">
        <v>45780</v>
      </c>
      <c r="CU17" s="14">
        <v>45812</v>
      </c>
      <c r="CV17" s="14">
        <v>45843</v>
      </c>
      <c r="CW17" s="14">
        <v>45875</v>
      </c>
      <c r="CX17" s="14">
        <v>45907</v>
      </c>
      <c r="CY17" s="14">
        <v>45938</v>
      </c>
      <c r="CZ17" s="14">
        <v>45970</v>
      </c>
      <c r="DA17" s="14">
        <v>46001</v>
      </c>
      <c r="DB17" s="14">
        <v>46033</v>
      </c>
      <c r="DC17" s="14">
        <v>46065</v>
      </c>
      <c r="DD17" s="14">
        <v>46094</v>
      </c>
      <c r="DE17" s="14">
        <v>46126</v>
      </c>
      <c r="DF17" s="14">
        <v>46157</v>
      </c>
      <c r="DG17" s="14">
        <v>46189</v>
      </c>
      <c r="DH17" s="14">
        <v>46220</v>
      </c>
      <c r="DI17" s="14">
        <v>46252</v>
      </c>
      <c r="DJ17" s="14">
        <v>46284</v>
      </c>
      <c r="DK17" s="14">
        <v>46296</v>
      </c>
      <c r="DM17" s="18"/>
      <c r="DN17" s="18"/>
      <c r="DO17" s="18"/>
      <c r="DP17" s="18"/>
      <c r="DQ17" s="18"/>
      <c r="DR17" s="18"/>
      <c r="DS17" s="18"/>
      <c r="DT17" s="18"/>
      <c r="DU17" s="18"/>
      <c r="DV17" s="19"/>
    </row>
    <row r="18" spans="1:126" x14ac:dyDescent="0.25">
      <c r="A18" s="1" t="s">
        <v>5</v>
      </c>
      <c r="B18" s="11">
        <f>Metrics!B10*Metrics!$DL2</f>
        <v>247000</v>
      </c>
      <c r="C18" s="11">
        <f>Metrics!C10*Metrics!$DL2</f>
        <v>561600</v>
      </c>
      <c r="D18" s="11">
        <f>Metrics!D10*Metrics!$DL2</f>
        <v>936000</v>
      </c>
      <c r="E18" s="11">
        <f>Metrics!E10*Metrics!$DL2</f>
        <v>1068600</v>
      </c>
      <c r="F18" s="11">
        <f>Metrics!F10*Metrics!$DL2</f>
        <v>1268800</v>
      </c>
      <c r="G18" s="11">
        <f>Metrics!G10*Metrics!$DL2</f>
        <v>1937000</v>
      </c>
      <c r="H18" s="11">
        <f>Metrics!H10*Metrics!$DL2</f>
        <v>2246400</v>
      </c>
      <c r="I18" s="11">
        <f>Metrics!I10*Metrics!$DL2</f>
        <v>2394600</v>
      </c>
      <c r="J18" s="11">
        <f>Metrics!J10*Metrics!$DL2</f>
        <v>3385200</v>
      </c>
      <c r="K18" s="11">
        <f>Metrics!K10*Metrics!$DL2</f>
        <v>4628000</v>
      </c>
      <c r="L18" s="11">
        <f>(Metrics!L10-Metrics!$K10)*Metrics!$DM2+Metrics!$K18</f>
        <v>5594600</v>
      </c>
      <c r="M18" s="11">
        <f>(Metrics!M10-Metrics!$K10)*Metrics!$DM2+Metrics!$K18</f>
        <v>6798800</v>
      </c>
      <c r="N18" s="11">
        <f>(Metrics!N10-Metrics!$K10)*Metrics!$DM2+Metrics!$K18</f>
        <v>7152500</v>
      </c>
      <c r="O18" s="11">
        <f>(Metrics!O10-Metrics!$K10)*Metrics!$DM2+Metrics!$K18</f>
        <v>8324300</v>
      </c>
      <c r="P18" s="11">
        <f>(Metrics!P10-Metrics!$K10)*Metrics!$DM2+Metrics!$K18</f>
        <v>8510600</v>
      </c>
      <c r="Q18" s="11">
        <f>IF(Q2="","",((Metrics!Q10-Metrics!$K10)*Metrics!$DM2+Metrics!$K18))</f>
        <v>8696900</v>
      </c>
      <c r="R18" s="11">
        <f>IF(R2="","",((Metrics!R10-Metrics!$K10)*Metrics!$DM2+Metrics!$K18))</f>
        <v>8818400</v>
      </c>
      <c r="S18" s="11">
        <f>IF(S2="","",((Metrics!S10-Metrics!$K10)*Metrics!$DM2+Metrics!$K18))</f>
        <v>9331400</v>
      </c>
      <c r="T18" s="11">
        <f>IF(T2="","",((Metrics!T10-Metrics!$K10)*Metrics!$DM2+Metrics!$K18))</f>
        <v>9957800</v>
      </c>
      <c r="U18" s="11">
        <f>IF(U2="","",((Metrics!U10-Metrics!$K10)*Metrics!$DM2+Metrics!$K18))</f>
        <v>10532900</v>
      </c>
      <c r="V18" s="11">
        <f>IF(V2="","",((Metrics!V10-Metrics!$K10)*Metrics!$DM2+Metrics!$K18))</f>
        <v>11129600</v>
      </c>
      <c r="W18" s="11">
        <f>IF(W2="","",((Metrics!W10-Metrics!$K10)*Metrics!$DM2+Metrics!$K18))</f>
        <v>11583200</v>
      </c>
      <c r="X18" s="11">
        <f>W18+X26</f>
        <v>11631028</v>
      </c>
      <c r="Y18" s="11">
        <f t="shared" ref="Y18:AW23" si="75">X18+Y26</f>
        <v>11923431</v>
      </c>
      <c r="Z18" s="11">
        <f t="shared" si="75"/>
        <v>12351709</v>
      </c>
      <c r="AA18" s="11">
        <f t="shared" si="75"/>
        <v>12779987</v>
      </c>
      <c r="AB18" s="11">
        <f t="shared" si="75"/>
        <v>13128914</v>
      </c>
      <c r="AC18" s="11">
        <f t="shared" si="75"/>
        <v>13528902</v>
      </c>
      <c r="AD18" s="11">
        <f t="shared" si="75"/>
        <v>13818090</v>
      </c>
      <c r="AE18" s="11">
        <f t="shared" si="75"/>
        <v>14285666</v>
      </c>
      <c r="AF18" s="11">
        <f t="shared" si="75"/>
        <v>14400898</v>
      </c>
      <c r="AG18" s="11">
        <f t="shared" si="75"/>
        <v>14606986</v>
      </c>
      <c r="AH18" s="11">
        <f t="shared" si="75"/>
        <v>14656706</v>
      </c>
      <c r="AI18" s="11">
        <f t="shared" si="75"/>
        <v>15122266</v>
      </c>
      <c r="AJ18" s="11">
        <f t="shared" si="75"/>
        <v>15249956</v>
      </c>
      <c r="AK18" s="11">
        <f t="shared" si="75"/>
        <v>15251086</v>
      </c>
      <c r="AL18" s="11">
        <f t="shared" si="75"/>
        <v>15440926</v>
      </c>
      <c r="AM18" s="11">
        <f t="shared" si="75"/>
        <v>15822866</v>
      </c>
      <c r="AN18" s="11">
        <f t="shared" si="75"/>
        <v>15844336</v>
      </c>
      <c r="AO18" s="11">
        <f t="shared" si="75"/>
        <v>15846596</v>
      </c>
      <c r="AP18" s="11">
        <f t="shared" si="75"/>
        <v>15894056</v>
      </c>
      <c r="AQ18" s="11">
        <f t="shared" si="75"/>
        <v>16064686</v>
      </c>
      <c r="AR18" s="11">
        <f t="shared" si="75"/>
        <v>16191246</v>
      </c>
      <c r="AS18" s="11">
        <f t="shared" si="75"/>
        <v>16269216</v>
      </c>
      <c r="AT18" s="11">
        <f t="shared" si="75"/>
        <v>16381056</v>
      </c>
      <c r="AU18" s="11">
        <f t="shared" si="75"/>
        <v>16633861</v>
      </c>
      <c r="AV18" s="11">
        <f t="shared" si="75"/>
        <v>16651336</v>
      </c>
      <c r="AW18" s="11">
        <f t="shared" si="75"/>
        <v>16667646</v>
      </c>
      <c r="AX18" s="11">
        <f t="shared" ref="AX18:AY23" si="76">AW18+AX26</f>
        <v>16667646</v>
      </c>
      <c r="AY18" s="11">
        <f t="shared" si="76"/>
        <v>16696771</v>
      </c>
      <c r="AZ18" s="11">
        <f t="shared" ref="AZ18:BI18" si="77">AY18+AZ26</f>
        <v>16722401</v>
      </c>
      <c r="BA18" s="11">
        <f t="shared" si="77"/>
        <v>16753856</v>
      </c>
      <c r="BB18" s="11">
        <f t="shared" si="77"/>
        <v>16817931</v>
      </c>
      <c r="BC18" s="11">
        <f t="shared" si="77"/>
        <v>16872487</v>
      </c>
      <c r="BD18" s="11">
        <f t="shared" si="77"/>
        <v>16930601</v>
      </c>
      <c r="BE18" s="11">
        <f t="shared" si="77"/>
        <v>16973297</v>
      </c>
      <c r="BF18" s="11">
        <f t="shared" si="77"/>
        <v>17109687</v>
      </c>
      <c r="BG18" s="11">
        <f t="shared" si="77"/>
        <v>17115617</v>
      </c>
      <c r="BH18" s="11">
        <f t="shared" si="77"/>
        <v>17119175</v>
      </c>
      <c r="BI18" s="11">
        <f t="shared" si="77"/>
        <v>17129849</v>
      </c>
      <c r="BJ18" s="11">
        <f t="shared" ref="BJ18:BK23" si="78">BI18+BJ26</f>
        <v>17131035</v>
      </c>
      <c r="BK18" s="11">
        <f t="shared" si="78"/>
        <v>17133407</v>
      </c>
      <c r="BL18" s="11">
        <f t="shared" ref="BL18:CM18" si="79">BK18+BL26</f>
        <v>17191521</v>
      </c>
      <c r="BM18" s="11">
        <f t="shared" si="79"/>
        <v>17312493</v>
      </c>
      <c r="BN18" s="11">
        <f t="shared" si="79"/>
        <v>17652875</v>
      </c>
      <c r="BO18" s="11">
        <f t="shared" si="79"/>
        <v>18476075</v>
      </c>
      <c r="BP18" s="11">
        <f t="shared" si="79"/>
        <v>19306475</v>
      </c>
      <c r="BQ18" s="11">
        <f t="shared" si="79"/>
        <v>20032475</v>
      </c>
      <c r="BR18" s="11">
        <f t="shared" si="79"/>
        <v>21129275</v>
      </c>
      <c r="BS18" s="11">
        <f t="shared" si="79"/>
        <v>21634475</v>
      </c>
      <c r="BT18" s="11">
        <f t="shared" si="79"/>
        <v>22314875</v>
      </c>
      <c r="BU18" s="11">
        <f t="shared" si="79"/>
        <v>23212475</v>
      </c>
      <c r="BV18" s="11">
        <f t="shared" si="79"/>
        <v>24443675</v>
      </c>
      <c r="BW18" s="11">
        <f t="shared" si="79"/>
        <v>24447275</v>
      </c>
      <c r="BX18" s="11">
        <f t="shared" si="79"/>
        <v>24486875</v>
      </c>
      <c r="BY18" s="11">
        <f t="shared" si="79"/>
        <v>24497675</v>
      </c>
      <c r="BZ18" s="11">
        <f t="shared" si="79"/>
        <v>24530075</v>
      </c>
      <c r="CA18" s="11">
        <f t="shared" si="79"/>
        <v>24530075</v>
      </c>
      <c r="CB18" s="11">
        <f t="shared" si="79"/>
        <v>24530075</v>
      </c>
      <c r="CC18" s="11">
        <f t="shared" si="79"/>
        <v>24550203</v>
      </c>
      <c r="CD18" s="11">
        <f t="shared" si="79"/>
        <v>24585427</v>
      </c>
      <c r="CE18" s="11">
        <f t="shared" si="79"/>
        <v>24590459</v>
      </c>
      <c r="CF18" s="11">
        <f t="shared" si="79"/>
        <v>24595491</v>
      </c>
      <c r="CG18" s="11">
        <f t="shared" si="79"/>
        <v>24598007</v>
      </c>
      <c r="CH18" s="11">
        <f t="shared" si="79"/>
        <v>24864703</v>
      </c>
      <c r="CI18" s="11">
        <f t="shared" si="79"/>
        <v>25507541</v>
      </c>
      <c r="CJ18" s="11">
        <f t="shared" si="79"/>
        <v>26093769</v>
      </c>
      <c r="CK18" s="11">
        <f t="shared" si="79"/>
        <v>26696351</v>
      </c>
      <c r="CL18" s="11">
        <f t="shared" si="79"/>
        <v>27693945</v>
      </c>
      <c r="CM18" s="11">
        <f t="shared" si="79"/>
        <v>28659819</v>
      </c>
      <c r="CN18" s="11">
        <f t="shared" ref="CN18:CN23" si="80">CM18+CN26</f>
        <v>29115855</v>
      </c>
      <c r="CO18" s="11">
        <f t="shared" ref="CO18:CP23" si="81">CN18+CO26</f>
        <v>29400237</v>
      </c>
      <c r="CP18" s="11">
        <f t="shared" si="81"/>
        <v>29714082</v>
      </c>
      <c r="CQ18" s="11">
        <f t="shared" ref="CQ18:DE18" si="82">CP18+CQ26</f>
        <v>30066357</v>
      </c>
      <c r="CR18" s="11">
        <f t="shared" si="82"/>
        <v>30408384</v>
      </c>
      <c r="CS18" s="11">
        <f t="shared" si="82"/>
        <v>30927189</v>
      </c>
      <c r="CT18" s="11">
        <f t="shared" si="82"/>
        <v>31220538</v>
      </c>
      <c r="CU18" s="11">
        <f t="shared" si="82"/>
        <v>31568970</v>
      </c>
      <c r="CV18" s="11">
        <f t="shared" si="82"/>
        <v>31852071</v>
      </c>
      <c r="CW18" s="11">
        <f t="shared" si="82"/>
        <v>32180007</v>
      </c>
      <c r="CX18" s="11">
        <f t="shared" si="82"/>
        <v>32643729</v>
      </c>
      <c r="CY18" s="11">
        <f t="shared" si="82"/>
        <v>33038277</v>
      </c>
      <c r="CZ18" s="11">
        <f t="shared" si="82"/>
        <v>33248361</v>
      </c>
      <c r="DA18" s="11">
        <f t="shared" si="82"/>
        <v>33289353</v>
      </c>
      <c r="DB18" s="11">
        <f t="shared" si="82"/>
        <v>33879894</v>
      </c>
      <c r="DC18" s="11">
        <f t="shared" si="82"/>
        <v>34102788</v>
      </c>
      <c r="DD18" s="11">
        <f t="shared" si="82"/>
        <v>34288533</v>
      </c>
      <c r="DE18" s="11">
        <f t="shared" si="82"/>
        <v>34859859</v>
      </c>
      <c r="DF18" s="11">
        <f t="shared" ref="DF18:DG23" si="83">DE18+DF26</f>
        <v>35277465</v>
      </c>
      <c r="DG18" s="11">
        <f t="shared" si="83"/>
        <v>35636145</v>
      </c>
      <c r="DH18" s="11">
        <f t="shared" ref="DH18:DK18" si="84">DG18+DH26</f>
        <v>36242058</v>
      </c>
      <c r="DI18" s="11">
        <f t="shared" si="84"/>
        <v>36849252</v>
      </c>
      <c r="DJ18" s="11">
        <f t="shared" si="84"/>
        <v>37149006</v>
      </c>
      <c r="DK18" s="11">
        <f t="shared" si="84"/>
        <v>37520496</v>
      </c>
      <c r="DM18" s="4"/>
      <c r="DN18" s="4"/>
      <c r="DO18" s="4"/>
      <c r="DP18" s="4"/>
      <c r="DQ18" s="4"/>
      <c r="DR18" s="4"/>
      <c r="DS18" s="4"/>
      <c r="DT18" s="4"/>
      <c r="DU18" s="4"/>
    </row>
    <row r="19" spans="1:126" x14ac:dyDescent="0.25">
      <c r="A19" s="1" t="s">
        <v>6</v>
      </c>
      <c r="B19" s="11">
        <f>Metrics!B11*Metrics!$DL3</f>
        <v>192200</v>
      </c>
      <c r="C19" s="11">
        <f>Metrics!C11*Metrics!$DL3</f>
        <v>638600</v>
      </c>
      <c r="D19" s="11">
        <f>Metrics!D11*Metrics!$DL3</f>
        <v>2703200</v>
      </c>
      <c r="E19" s="11">
        <f>Metrics!E11*Metrics!$DL3</f>
        <v>3025600</v>
      </c>
      <c r="F19" s="11">
        <f>Metrics!F11*Metrics!$DL3</f>
        <v>3701400</v>
      </c>
      <c r="G19" s="11">
        <f>Metrics!G11*Metrics!$DL3</f>
        <v>4668600</v>
      </c>
      <c r="H19" s="11">
        <f>Metrics!H11*Metrics!$DL3</f>
        <v>5406400</v>
      </c>
      <c r="I19" s="11">
        <f>Metrics!I11*Metrics!$DL3</f>
        <v>5778400</v>
      </c>
      <c r="J19" s="11">
        <f>Metrics!J11*Metrics!$DL3</f>
        <v>6379800</v>
      </c>
      <c r="K19" s="11">
        <f>Metrics!K11*Metrics!$DL3</f>
        <v>8649000</v>
      </c>
      <c r="L19" s="11">
        <f>(Metrics!L11-Metrics!$K11)*Metrics!$DM3+Metrics!$K19</f>
        <v>9442800</v>
      </c>
      <c r="M19" s="11">
        <f>(Metrics!M11-Metrics!$K11)*Metrics!$DM3+Metrics!$K19</f>
        <v>10917000</v>
      </c>
      <c r="N19" s="11">
        <f>(Metrics!N11-Metrics!$K11)*Metrics!$DM3+Metrics!$K19</f>
        <v>11263500</v>
      </c>
      <c r="O19" s="11">
        <f>(Metrics!O11-Metrics!$K11)*Metrics!$DM3+Metrics!$K19</f>
        <v>11647800</v>
      </c>
      <c r="P19" s="11">
        <f>(Metrics!P11-Metrics!$K11)*Metrics!$DM3+Metrics!$K19</f>
        <v>12170700</v>
      </c>
      <c r="Q19" s="11">
        <f>IF(Q3="","",((Metrics!Q11-Metrics!$K11)*Metrics!$DM3+Metrics!$K19))</f>
        <v>12340800</v>
      </c>
      <c r="R19" s="11">
        <f>IF(R3="","",((Metrics!R11-Metrics!$K11)*Metrics!$DM3+Metrics!$K19))</f>
        <v>12800700</v>
      </c>
      <c r="S19" s="11">
        <f>IF(S3="","",((Metrics!S11-Metrics!$K11)*Metrics!$DM3+Metrics!$K19))</f>
        <v>15408900</v>
      </c>
      <c r="T19" s="11">
        <f>IF(T3="","",((Metrics!T11-Metrics!$K11)*Metrics!$DM3+Metrics!$K19))</f>
        <v>19201500</v>
      </c>
      <c r="U19" s="11">
        <f>IF(U3="","",((Metrics!U11-Metrics!$K11)*Metrics!$DM3+Metrics!$K19))</f>
        <v>22055400</v>
      </c>
      <c r="V19" s="11">
        <f>IF(V3="","",((Metrics!V11-Metrics!$K11)*Metrics!$DM3+Metrics!$K19))</f>
        <v>23088600</v>
      </c>
      <c r="W19" s="11">
        <f>IF(W3="","",((Metrics!W11-Metrics!$K11)*Metrics!$DM3+Metrics!$K19))</f>
        <v>24033600</v>
      </c>
      <c r="X19" s="11">
        <f t="shared" ref="X19:AM23" si="85">W19+X27</f>
        <v>24962976</v>
      </c>
      <c r="Y19" s="11">
        <f t="shared" si="85"/>
        <v>26390232</v>
      </c>
      <c r="Z19" s="11">
        <f t="shared" si="85"/>
        <v>30185184</v>
      </c>
      <c r="AA19" s="11">
        <f t="shared" si="85"/>
        <v>33980136</v>
      </c>
      <c r="AB19" s="11">
        <f t="shared" si="85"/>
        <v>34643976</v>
      </c>
      <c r="AC19" s="11">
        <f t="shared" si="85"/>
        <v>36748442</v>
      </c>
      <c r="AD19" s="11">
        <f t="shared" si="85"/>
        <v>38576450</v>
      </c>
      <c r="AE19" s="11">
        <f t="shared" si="85"/>
        <v>40703484</v>
      </c>
      <c r="AF19" s="11">
        <f t="shared" si="85"/>
        <v>42097058</v>
      </c>
      <c r="AG19" s="11">
        <f t="shared" si="85"/>
        <v>43293162</v>
      </c>
      <c r="AH19" s="11">
        <f t="shared" si="85"/>
        <v>43707450</v>
      </c>
      <c r="AI19" s="11">
        <f t="shared" si="85"/>
        <v>46411830</v>
      </c>
      <c r="AJ19" s="11">
        <f t="shared" si="85"/>
        <v>47683464</v>
      </c>
      <c r="AK19" s="11">
        <f t="shared" si="85"/>
        <v>47746758</v>
      </c>
      <c r="AL19" s="11">
        <f t="shared" si="85"/>
        <v>48172554</v>
      </c>
      <c r="AM19" s="11">
        <f t="shared" si="85"/>
        <v>48224340</v>
      </c>
      <c r="AN19" s="11">
        <f t="shared" si="75"/>
        <v>48362436</v>
      </c>
      <c r="AO19" s="11">
        <f t="shared" si="75"/>
        <v>50520186</v>
      </c>
      <c r="AP19" s="11">
        <f t="shared" si="75"/>
        <v>50525940</v>
      </c>
      <c r="AQ19" s="11">
        <f t="shared" si="75"/>
        <v>50773362</v>
      </c>
      <c r="AR19" s="11">
        <f t="shared" si="75"/>
        <v>50842410</v>
      </c>
      <c r="AS19" s="11">
        <f t="shared" si="75"/>
        <v>50940228</v>
      </c>
      <c r="AT19" s="11">
        <f t="shared" si="75"/>
        <v>51041004</v>
      </c>
      <c r="AU19" s="11">
        <f t="shared" si="75"/>
        <v>51266268</v>
      </c>
      <c r="AV19" s="11">
        <f t="shared" si="75"/>
        <v>51414468</v>
      </c>
      <c r="AW19" s="11">
        <f t="shared" si="75"/>
        <v>51900564</v>
      </c>
      <c r="AX19" s="11">
        <f t="shared" si="76"/>
        <v>52362948</v>
      </c>
      <c r="AY19" s="11">
        <f t="shared" si="76"/>
        <v>52949820</v>
      </c>
      <c r="AZ19" s="11">
        <f t="shared" ref="AZ19:BI19" si="86">AY19+AZ27</f>
        <v>53471484</v>
      </c>
      <c r="BA19" s="11">
        <f t="shared" si="86"/>
        <v>53945724</v>
      </c>
      <c r="BB19" s="11">
        <f t="shared" si="86"/>
        <v>54491100</v>
      </c>
      <c r="BC19" s="11">
        <f t="shared" si="86"/>
        <v>55094600</v>
      </c>
      <c r="BD19" s="11">
        <f t="shared" si="86"/>
        <v>56422300</v>
      </c>
      <c r="BE19" s="11">
        <f t="shared" si="86"/>
        <v>57206850</v>
      </c>
      <c r="BF19" s="11">
        <f t="shared" si="86"/>
        <v>57556880</v>
      </c>
      <c r="BG19" s="11">
        <f t="shared" si="86"/>
        <v>58444025</v>
      </c>
      <c r="BH19" s="11">
        <f t="shared" si="86"/>
        <v>58950965</v>
      </c>
      <c r="BI19" s="11">
        <f t="shared" si="86"/>
        <v>59482045</v>
      </c>
      <c r="BJ19" s="11">
        <f t="shared" si="78"/>
        <v>59783795</v>
      </c>
      <c r="BK19" s="11">
        <f t="shared" si="78"/>
        <v>60206245</v>
      </c>
      <c r="BL19" s="11">
        <f t="shared" ref="BL19:CM19" si="87">BK19+BL27</f>
        <v>62505580</v>
      </c>
      <c r="BM19" s="11">
        <f t="shared" si="87"/>
        <v>65511010</v>
      </c>
      <c r="BN19" s="11">
        <f t="shared" si="87"/>
        <v>66464540</v>
      </c>
      <c r="BO19" s="11">
        <f t="shared" si="87"/>
        <v>68143965</v>
      </c>
      <c r="BP19" s="11">
        <f t="shared" si="87"/>
        <v>68779093</v>
      </c>
      <c r="BQ19" s="11">
        <f t="shared" si="87"/>
        <v>68785200</v>
      </c>
      <c r="BR19" s="11">
        <f t="shared" si="87"/>
        <v>68797414</v>
      </c>
      <c r="BS19" s="11">
        <f t="shared" si="87"/>
        <v>68870698</v>
      </c>
      <c r="BT19" s="11">
        <f t="shared" si="87"/>
        <v>68895126</v>
      </c>
      <c r="BU19" s="11">
        <f t="shared" si="87"/>
        <v>69927209</v>
      </c>
      <c r="BV19" s="11">
        <f t="shared" si="87"/>
        <v>70153168</v>
      </c>
      <c r="BW19" s="11">
        <f t="shared" si="87"/>
        <v>70226452</v>
      </c>
      <c r="BX19" s="11">
        <f t="shared" si="87"/>
        <v>70446304</v>
      </c>
      <c r="BY19" s="11">
        <f t="shared" si="87"/>
        <v>71111967</v>
      </c>
      <c r="BZ19" s="11">
        <f t="shared" si="87"/>
        <v>71417317</v>
      </c>
      <c r="CA19" s="11">
        <f t="shared" si="87"/>
        <v>71532499</v>
      </c>
      <c r="CB19" s="11">
        <f t="shared" si="87"/>
        <v>71532499</v>
      </c>
      <c r="CC19" s="11">
        <f t="shared" si="87"/>
        <v>71961232</v>
      </c>
      <c r="CD19" s="11">
        <f t="shared" si="87"/>
        <v>72569137</v>
      </c>
      <c r="CE19" s="11">
        <f t="shared" si="87"/>
        <v>74655211</v>
      </c>
      <c r="CF19" s="11">
        <f t="shared" si="87"/>
        <v>75416692</v>
      </c>
      <c r="CG19" s="11">
        <f t="shared" si="87"/>
        <v>75602263</v>
      </c>
      <c r="CH19" s="11">
        <f t="shared" si="87"/>
        <v>76210168</v>
      </c>
      <c r="CI19" s="11">
        <f t="shared" si="87"/>
        <v>78437020</v>
      </c>
      <c r="CJ19" s="11">
        <f t="shared" si="87"/>
        <v>79691224</v>
      </c>
      <c r="CK19" s="11">
        <f t="shared" si="87"/>
        <v>82046056</v>
      </c>
      <c r="CL19" s="11">
        <f t="shared" si="87"/>
        <v>84157726</v>
      </c>
      <c r="CM19" s="11">
        <f t="shared" si="87"/>
        <v>85564750</v>
      </c>
      <c r="CN19" s="11">
        <f t="shared" si="80"/>
        <v>86821952</v>
      </c>
      <c r="CO19" s="11">
        <f t="shared" si="81"/>
        <v>87558034</v>
      </c>
      <c r="CP19" s="11">
        <f t="shared" si="81"/>
        <v>88626330</v>
      </c>
      <c r="CQ19" s="11">
        <f t="shared" ref="CQ19:DE19" si="88">CP19+CQ27</f>
        <v>89108366</v>
      </c>
      <c r="CR19" s="11">
        <f t="shared" si="88"/>
        <v>89805364</v>
      </c>
      <c r="CS19" s="11">
        <f t="shared" si="88"/>
        <v>91036510</v>
      </c>
      <c r="CT19" s="11">
        <f t="shared" si="88"/>
        <v>91720480</v>
      </c>
      <c r="CU19" s="11">
        <f t="shared" si="88"/>
        <v>92827860</v>
      </c>
      <c r="CV19" s="11">
        <f t="shared" si="88"/>
        <v>93681194</v>
      </c>
      <c r="CW19" s="11">
        <f t="shared" si="88"/>
        <v>95036106</v>
      </c>
      <c r="CX19" s="11">
        <f t="shared" si="88"/>
        <v>97635192</v>
      </c>
      <c r="CY19" s="11">
        <f t="shared" si="88"/>
        <v>100123540</v>
      </c>
      <c r="CZ19" s="11">
        <f t="shared" si="88"/>
        <v>102019114</v>
      </c>
      <c r="DA19" s="11">
        <f t="shared" si="88"/>
        <v>104520490</v>
      </c>
      <c r="DB19" s="11">
        <f t="shared" si="88"/>
        <v>107373622</v>
      </c>
      <c r="DC19" s="11">
        <f t="shared" si="88"/>
        <v>108533114</v>
      </c>
      <c r="DD19" s="11">
        <f t="shared" si="88"/>
        <v>110396118</v>
      </c>
      <c r="DE19" s="11">
        <f t="shared" si="88"/>
        <v>112435000</v>
      </c>
      <c r="DF19" s="11">
        <f t="shared" si="83"/>
        <v>114265434</v>
      </c>
      <c r="DG19" s="11">
        <f t="shared" si="83"/>
        <v>115678972</v>
      </c>
      <c r="DH19" s="11">
        <f t="shared" ref="DH19:DK19" si="89">DG19+DH27</f>
        <v>117405182</v>
      </c>
      <c r="DI19" s="11">
        <f t="shared" si="89"/>
        <v>119248644</v>
      </c>
      <c r="DJ19" s="11">
        <f t="shared" si="89"/>
        <v>122473074</v>
      </c>
      <c r="DK19" s="11">
        <f t="shared" si="89"/>
        <v>124388190</v>
      </c>
      <c r="DM19" s="4"/>
      <c r="DN19" s="4"/>
      <c r="DO19" s="4"/>
      <c r="DP19" s="4"/>
      <c r="DQ19" s="4"/>
      <c r="DR19" s="4"/>
      <c r="DS19" s="4"/>
      <c r="DT19" s="4"/>
      <c r="DU19" s="4"/>
    </row>
    <row r="20" spans="1:126" x14ac:dyDescent="0.25">
      <c r="A20" s="1" t="s">
        <v>7</v>
      </c>
      <c r="B20" s="11">
        <f>Metrics!B12*Metrics!$DL4</f>
        <v>194400</v>
      </c>
      <c r="C20" s="11">
        <f>Metrics!C12*Metrics!$DL4</f>
        <v>453600</v>
      </c>
      <c r="D20" s="11">
        <f>Metrics!D12*Metrics!$DL4</f>
        <v>1004400</v>
      </c>
      <c r="E20" s="11">
        <f>Metrics!E12*Metrics!$DL4</f>
        <v>1134000</v>
      </c>
      <c r="F20" s="11">
        <f>Metrics!F12*Metrics!$DL4</f>
        <v>1474200</v>
      </c>
      <c r="G20" s="11">
        <f>Metrics!G12*Metrics!$DL4</f>
        <v>1911600</v>
      </c>
      <c r="H20" s="11">
        <f>Metrics!H12*Metrics!$DL4</f>
        <v>2365200</v>
      </c>
      <c r="I20" s="11">
        <f>Metrics!I12*Metrics!$DL4</f>
        <v>2899800</v>
      </c>
      <c r="J20" s="11">
        <f>Metrics!J12*Metrics!$DL4</f>
        <v>3499200</v>
      </c>
      <c r="K20" s="11">
        <f>Metrics!K12*Metrics!$DL4</f>
        <v>4228200</v>
      </c>
      <c r="L20" s="11">
        <f>(Metrics!L12-Metrics!$K12)*Metrics!$DM4+Metrics!$K20</f>
        <v>4360200</v>
      </c>
      <c r="M20" s="11">
        <f>(Metrics!M12-Metrics!$K12)*Metrics!$DM4+Metrics!$K20</f>
        <v>5350200</v>
      </c>
      <c r="N20" s="11">
        <f>(Metrics!N12-Metrics!$K12)*Metrics!$DM4+Metrics!$K20</f>
        <v>5482200</v>
      </c>
      <c r="O20" s="11">
        <f>(Metrics!O12-Metrics!$K12)*Metrics!$DM4+Metrics!$K20</f>
        <v>5581200</v>
      </c>
      <c r="P20" s="11">
        <f>(Metrics!P12-Metrics!$K12)*Metrics!$DM4+Metrics!$K20</f>
        <v>5795700</v>
      </c>
      <c r="Q20" s="11">
        <f>IF(Q4="","",((Metrics!Q12-Metrics!$K12)*Metrics!$DM4+Metrics!$K20))</f>
        <v>6010200</v>
      </c>
      <c r="R20" s="11">
        <f>IF(R4="","",((Metrics!R12-Metrics!$K12)*Metrics!$DM4+Metrics!$K20))</f>
        <v>6521700</v>
      </c>
      <c r="S20" s="11">
        <f>IF(S4="","",((Metrics!S12-Metrics!$K12)*Metrics!$DM4+Metrics!$K20))</f>
        <v>6670200</v>
      </c>
      <c r="T20" s="11">
        <f>IF(T4="","",((Metrics!T12-Metrics!$K12)*Metrics!$DM4+Metrics!$K20))</f>
        <v>7495200</v>
      </c>
      <c r="U20" s="11">
        <f>IF(U4="","",((Metrics!U12-Metrics!$K12)*Metrics!$DM4+Metrics!$K20))</f>
        <v>7676700</v>
      </c>
      <c r="V20" s="11">
        <f>IF(V4="","",((Metrics!V12-Metrics!$K12)*Metrics!$DM4+Metrics!$K20))</f>
        <v>7693200</v>
      </c>
      <c r="W20" s="11">
        <f>IF(W4="","",((Metrics!W12-Metrics!$K12)*Metrics!$DM4+Metrics!$K20))</f>
        <v>7709700</v>
      </c>
      <c r="X20" s="11">
        <f t="shared" si="85"/>
        <v>7749588</v>
      </c>
      <c r="Y20" s="11">
        <f t="shared" si="75"/>
        <v>7802772</v>
      </c>
      <c r="Z20" s="11">
        <f t="shared" si="75"/>
        <v>7895844</v>
      </c>
      <c r="AA20" s="11">
        <f t="shared" si="75"/>
        <v>7988916</v>
      </c>
      <c r="AB20" s="11">
        <f t="shared" si="75"/>
        <v>7988916</v>
      </c>
      <c r="AC20" s="11">
        <f t="shared" si="75"/>
        <v>7988916</v>
      </c>
      <c r="AD20" s="11">
        <f t="shared" si="75"/>
        <v>8016038</v>
      </c>
      <c r="AE20" s="11">
        <f t="shared" si="75"/>
        <v>8016038</v>
      </c>
      <c r="AF20" s="11">
        <f t="shared" si="75"/>
        <v>8016038</v>
      </c>
      <c r="AG20" s="11">
        <f t="shared" si="75"/>
        <v>8016038</v>
      </c>
      <c r="AH20" s="11">
        <f t="shared" si="75"/>
        <v>8016038</v>
      </c>
      <c r="AI20" s="11">
        <f t="shared" si="75"/>
        <v>8016038</v>
      </c>
      <c r="AJ20" s="11">
        <f t="shared" si="75"/>
        <v>8016038</v>
      </c>
      <c r="AK20" s="11">
        <f t="shared" si="75"/>
        <v>8016038</v>
      </c>
      <c r="AL20" s="11">
        <f t="shared" si="75"/>
        <v>8016038</v>
      </c>
      <c r="AM20" s="11">
        <f t="shared" si="75"/>
        <v>8016038</v>
      </c>
      <c r="AN20" s="11">
        <f t="shared" si="75"/>
        <v>8016038</v>
      </c>
      <c r="AO20" s="11">
        <f t="shared" si="75"/>
        <v>8016038</v>
      </c>
      <c r="AP20" s="11">
        <f t="shared" si="75"/>
        <v>8016038</v>
      </c>
      <c r="AQ20" s="11">
        <f t="shared" si="75"/>
        <v>8016038</v>
      </c>
      <c r="AR20" s="11">
        <f t="shared" si="75"/>
        <v>8016038</v>
      </c>
      <c r="AS20" s="11">
        <f t="shared" si="75"/>
        <v>8016038</v>
      </c>
      <c r="AT20" s="11">
        <f t="shared" si="75"/>
        <v>8016038</v>
      </c>
      <c r="AU20" s="11">
        <f t="shared" si="75"/>
        <v>8016038</v>
      </c>
      <c r="AV20" s="11">
        <f t="shared" si="75"/>
        <v>8016038</v>
      </c>
      <c r="AW20" s="11">
        <f t="shared" si="75"/>
        <v>8016038</v>
      </c>
      <c r="AX20" s="11">
        <f t="shared" si="76"/>
        <v>8016038</v>
      </c>
      <c r="AY20" s="11">
        <f t="shared" si="76"/>
        <v>8016038</v>
      </c>
      <c r="AZ20" s="11">
        <f t="shared" ref="AZ20:BI20" si="90">AY20+AZ28</f>
        <v>8016038</v>
      </c>
      <c r="BA20" s="11">
        <f t="shared" si="90"/>
        <v>8016038</v>
      </c>
      <c r="BB20" s="11">
        <f t="shared" si="90"/>
        <v>8016038</v>
      </c>
      <c r="BC20" s="11">
        <f t="shared" si="90"/>
        <v>8016038</v>
      </c>
      <c r="BD20" s="11">
        <f t="shared" si="90"/>
        <v>8016038</v>
      </c>
      <c r="BE20" s="11">
        <f t="shared" si="90"/>
        <v>8016038</v>
      </c>
      <c r="BF20" s="11">
        <f t="shared" si="90"/>
        <v>8016038</v>
      </c>
      <c r="BG20" s="11">
        <f t="shared" si="90"/>
        <v>8016038</v>
      </c>
      <c r="BH20" s="11">
        <f t="shared" si="90"/>
        <v>8016038</v>
      </c>
      <c r="BI20" s="11">
        <f t="shared" si="90"/>
        <v>8016038</v>
      </c>
      <c r="BJ20" s="11">
        <f t="shared" si="78"/>
        <v>8016038</v>
      </c>
      <c r="BK20" s="11">
        <f t="shared" si="78"/>
        <v>8016038</v>
      </c>
      <c r="BL20" s="11">
        <f t="shared" ref="BL20:CM20" si="91">BK20+BL28</f>
        <v>8059547</v>
      </c>
      <c r="BM20" s="11">
        <f t="shared" si="91"/>
        <v>8059547</v>
      </c>
      <c r="BN20" s="11">
        <f t="shared" si="91"/>
        <v>8059547</v>
      </c>
      <c r="BO20" s="11">
        <f t="shared" si="91"/>
        <v>8059547</v>
      </c>
      <c r="BP20" s="11">
        <f t="shared" si="91"/>
        <v>8059547</v>
      </c>
      <c r="BQ20" s="11">
        <f t="shared" si="91"/>
        <v>8059547</v>
      </c>
      <c r="BR20" s="11">
        <f t="shared" si="91"/>
        <v>8059547</v>
      </c>
      <c r="BS20" s="11">
        <f t="shared" si="91"/>
        <v>8059547</v>
      </c>
      <c r="BT20" s="11">
        <f t="shared" si="91"/>
        <v>8059547</v>
      </c>
      <c r="BU20" s="11">
        <f t="shared" si="91"/>
        <v>8059547</v>
      </c>
      <c r="BV20" s="11">
        <f t="shared" si="91"/>
        <v>8059547</v>
      </c>
      <c r="BW20" s="11">
        <f t="shared" si="91"/>
        <v>8059547</v>
      </c>
      <c r="BX20" s="11">
        <f t="shared" si="91"/>
        <v>8059547</v>
      </c>
      <c r="BY20" s="11">
        <f t="shared" si="91"/>
        <v>8059547</v>
      </c>
      <c r="BZ20" s="11">
        <f t="shared" si="91"/>
        <v>8059547</v>
      </c>
      <c r="CA20" s="11">
        <f t="shared" si="91"/>
        <v>8059547</v>
      </c>
      <c r="CB20" s="11">
        <f t="shared" si="91"/>
        <v>8059547</v>
      </c>
      <c r="CC20" s="11">
        <f t="shared" si="91"/>
        <v>8059547</v>
      </c>
      <c r="CD20" s="11">
        <f t="shared" si="91"/>
        <v>8059547</v>
      </c>
      <c r="CE20" s="11">
        <f t="shared" si="91"/>
        <v>8059547</v>
      </c>
      <c r="CF20" s="11">
        <f t="shared" si="91"/>
        <v>8059547</v>
      </c>
      <c r="CG20" s="11">
        <f t="shared" si="91"/>
        <v>8059547</v>
      </c>
      <c r="CH20" s="11">
        <f t="shared" si="91"/>
        <v>8059547</v>
      </c>
      <c r="CI20" s="11">
        <f t="shared" si="91"/>
        <v>8059547</v>
      </c>
      <c r="CJ20" s="11">
        <f t="shared" si="91"/>
        <v>8059547</v>
      </c>
      <c r="CK20" s="11">
        <f t="shared" si="91"/>
        <v>8059547</v>
      </c>
      <c r="CL20" s="11">
        <f t="shared" si="91"/>
        <v>8059547</v>
      </c>
      <c r="CM20" s="11">
        <f t="shared" si="91"/>
        <v>8059547</v>
      </c>
      <c r="CN20" s="11">
        <f t="shared" si="80"/>
        <v>8059547</v>
      </c>
      <c r="CO20" s="11">
        <f t="shared" si="81"/>
        <v>8059547</v>
      </c>
      <c r="CP20" s="11">
        <f t="shared" si="81"/>
        <v>8059547</v>
      </c>
      <c r="CQ20" s="11">
        <f t="shared" ref="CQ20:DE20" si="92">CP20+CQ28</f>
        <v>8059547</v>
      </c>
      <c r="CR20" s="11">
        <f t="shared" si="92"/>
        <v>8059547</v>
      </c>
      <c r="CS20" s="11">
        <f t="shared" si="92"/>
        <v>8059547</v>
      </c>
      <c r="CT20" s="11">
        <f t="shared" si="92"/>
        <v>8059547</v>
      </c>
      <c r="CU20" s="11">
        <f t="shared" si="92"/>
        <v>8059547</v>
      </c>
      <c r="CV20" s="11">
        <f t="shared" si="92"/>
        <v>8059547</v>
      </c>
      <c r="CW20" s="11">
        <f t="shared" si="92"/>
        <v>8059547</v>
      </c>
      <c r="CX20" s="11">
        <f t="shared" si="92"/>
        <v>8059547</v>
      </c>
      <c r="CY20" s="11">
        <f t="shared" si="92"/>
        <v>8059547</v>
      </c>
      <c r="CZ20" s="11">
        <f t="shared" si="92"/>
        <v>8059547</v>
      </c>
      <c r="DA20" s="11">
        <f t="shared" si="92"/>
        <v>8059547</v>
      </c>
      <c r="DB20" s="11">
        <f t="shared" si="92"/>
        <v>8059547</v>
      </c>
      <c r="DC20" s="11">
        <f t="shared" si="92"/>
        <v>8059547</v>
      </c>
      <c r="DD20" s="11">
        <f t="shared" si="92"/>
        <v>8059547</v>
      </c>
      <c r="DE20" s="11">
        <f t="shared" si="92"/>
        <v>8059547</v>
      </c>
      <c r="DF20" s="11">
        <f t="shared" si="83"/>
        <v>8059547</v>
      </c>
      <c r="DG20" s="11">
        <f t="shared" si="83"/>
        <v>8059547</v>
      </c>
      <c r="DH20" s="11">
        <f t="shared" ref="DH20:DK20" si="93">DG20+DH28</f>
        <v>8059547</v>
      </c>
      <c r="DI20" s="11">
        <f t="shared" si="93"/>
        <v>8059547</v>
      </c>
      <c r="DJ20" s="11">
        <f t="shared" si="93"/>
        <v>8059547</v>
      </c>
      <c r="DK20" s="11">
        <f t="shared" si="93"/>
        <v>8059547</v>
      </c>
      <c r="DM20" s="4"/>
      <c r="DN20" s="4"/>
      <c r="DO20" s="4"/>
      <c r="DP20" s="4"/>
      <c r="DQ20" s="4"/>
      <c r="DR20" s="4"/>
      <c r="DS20" s="4"/>
      <c r="DT20" s="4"/>
      <c r="DU20" s="4"/>
    </row>
    <row r="21" spans="1:126" x14ac:dyDescent="0.25">
      <c r="A21" s="1" t="s">
        <v>8</v>
      </c>
      <c r="B21" s="11">
        <f>Metrics!B13*Metrics!$DL5</f>
        <v>80800</v>
      </c>
      <c r="C21" s="11">
        <f>Metrics!C13*Metrics!$DL5</f>
        <v>202000</v>
      </c>
      <c r="D21" s="11">
        <f>Metrics!D13*Metrics!$DL5</f>
        <v>202000</v>
      </c>
      <c r="E21" s="11">
        <f>Metrics!E13*Metrics!$DL5</f>
        <v>202000</v>
      </c>
      <c r="F21" s="11">
        <f>Metrics!F13*Metrics!$DL5</f>
        <v>202000</v>
      </c>
      <c r="G21" s="11">
        <f>Metrics!G13*Metrics!$DL5</f>
        <v>242400</v>
      </c>
      <c r="H21" s="11">
        <f>Metrics!H13*Metrics!$DL5</f>
        <v>484800</v>
      </c>
      <c r="I21" s="11">
        <f>Metrics!I13*Metrics!$DL5</f>
        <v>646400</v>
      </c>
      <c r="J21" s="11">
        <f>Metrics!J13*Metrics!$DL5</f>
        <v>1131200</v>
      </c>
      <c r="K21" s="11">
        <f>Metrics!K13*Metrics!$DL5</f>
        <v>1414000</v>
      </c>
      <c r="L21" s="11">
        <f>(Metrics!L13-Metrics!$K13)*Metrics!$DM5+Metrics!$K21</f>
        <v>1702400</v>
      </c>
      <c r="M21" s="11">
        <f>(Metrics!M13-Metrics!$K13)*Metrics!$DM5+Metrics!$K21</f>
        <v>2279200</v>
      </c>
      <c r="N21" s="11">
        <f>(Metrics!N13-Metrics!$K13)*Metrics!$DM5+Metrics!$K21</f>
        <v>2485200</v>
      </c>
      <c r="O21" s="11">
        <f>(Metrics!O13-Metrics!$K13)*Metrics!$DM5+Metrics!$K21</f>
        <v>2567600</v>
      </c>
      <c r="P21" s="11">
        <f>(Metrics!P13-Metrics!$K13)*Metrics!$DM5+Metrics!$K21</f>
        <v>3020800</v>
      </c>
      <c r="Q21" s="11">
        <f>IF(Q5="","",((Metrics!Q13-Metrics!$K13)*Metrics!$DM5+Metrics!$K21))</f>
        <v>3309200</v>
      </c>
      <c r="R21" s="11">
        <f>IF(R5="","",((Metrics!R13-Metrics!$K13)*Metrics!$DM5+Metrics!$K21))</f>
        <v>3432800</v>
      </c>
      <c r="S21" s="11">
        <f>IF(S5="","",((Metrics!S13-Metrics!$K13)*Metrics!$DM5+Metrics!$K21))</f>
        <v>3927200</v>
      </c>
      <c r="T21" s="11">
        <f>IF(T5="","",((Metrics!T13-Metrics!$K13)*Metrics!$DM5+Metrics!$K21))</f>
        <v>5369200</v>
      </c>
      <c r="U21" s="11">
        <f>IF(U5="","",((Metrics!U13-Metrics!$K13)*Metrics!$DM5+Metrics!$K21))</f>
        <v>5410400</v>
      </c>
      <c r="V21" s="11">
        <f>IF(V5="","",((Metrics!V13-Metrics!$K13)*Metrics!$DM5+Metrics!$K21))</f>
        <v>5534000</v>
      </c>
      <c r="W21" s="11">
        <f>IF(W5="","",((Metrics!W13-Metrics!$K13)*Metrics!$DM5+Metrics!$K21))</f>
        <v>5534000</v>
      </c>
      <c r="X21" s="11">
        <f t="shared" si="85"/>
        <v>5534000</v>
      </c>
      <c r="Y21" s="11">
        <f t="shared" si="75"/>
        <v>5560860</v>
      </c>
      <c r="Z21" s="11">
        <f t="shared" si="75"/>
        <v>5668300</v>
      </c>
      <c r="AA21" s="11">
        <f t="shared" si="75"/>
        <v>5775740</v>
      </c>
      <c r="AB21" s="11">
        <f t="shared" si="75"/>
        <v>5775740</v>
      </c>
      <c r="AC21" s="11">
        <f t="shared" si="75"/>
        <v>5775740</v>
      </c>
      <c r="AD21" s="11">
        <f t="shared" si="75"/>
        <v>5775740</v>
      </c>
      <c r="AE21" s="11">
        <f t="shared" si="75"/>
        <v>5775740</v>
      </c>
      <c r="AF21" s="11">
        <f t="shared" si="75"/>
        <v>5775740</v>
      </c>
      <c r="AG21" s="11">
        <f t="shared" si="75"/>
        <v>5775740</v>
      </c>
      <c r="AH21" s="11">
        <f t="shared" si="75"/>
        <v>5775740</v>
      </c>
      <c r="AI21" s="11">
        <f t="shared" si="75"/>
        <v>5775740</v>
      </c>
      <c r="AJ21" s="11">
        <f t="shared" si="75"/>
        <v>5775740</v>
      </c>
      <c r="AK21" s="11">
        <f t="shared" si="75"/>
        <v>5775740</v>
      </c>
      <c r="AL21" s="11">
        <f t="shared" si="75"/>
        <v>5775740</v>
      </c>
      <c r="AM21" s="11">
        <f t="shared" si="75"/>
        <v>5775740</v>
      </c>
      <c r="AN21" s="11">
        <f t="shared" si="75"/>
        <v>5775740</v>
      </c>
      <c r="AO21" s="11">
        <f t="shared" si="75"/>
        <v>5775740</v>
      </c>
      <c r="AP21" s="11">
        <f t="shared" si="75"/>
        <v>5775740</v>
      </c>
      <c r="AQ21" s="11">
        <f t="shared" si="75"/>
        <v>5775740</v>
      </c>
      <c r="AR21" s="11">
        <f t="shared" si="75"/>
        <v>5775740</v>
      </c>
      <c r="AS21" s="11">
        <f t="shared" si="75"/>
        <v>5775740</v>
      </c>
      <c r="AT21" s="11">
        <f t="shared" si="75"/>
        <v>5775740</v>
      </c>
      <c r="AU21" s="11">
        <f t="shared" si="75"/>
        <v>5775740</v>
      </c>
      <c r="AV21" s="11">
        <f t="shared" si="75"/>
        <v>5775740</v>
      </c>
      <c r="AW21" s="11">
        <f t="shared" si="75"/>
        <v>5775740</v>
      </c>
      <c r="AX21" s="11">
        <f t="shared" si="76"/>
        <v>5775740</v>
      </c>
      <c r="AY21" s="11">
        <f t="shared" si="76"/>
        <v>5775740</v>
      </c>
      <c r="AZ21" s="11">
        <f t="shared" ref="AZ21:BI21" si="94">AY21+AZ29</f>
        <v>5775740</v>
      </c>
      <c r="BA21" s="11">
        <f t="shared" si="94"/>
        <v>5775740</v>
      </c>
      <c r="BB21" s="11">
        <f t="shared" si="94"/>
        <v>5775740</v>
      </c>
      <c r="BC21" s="11">
        <f t="shared" si="94"/>
        <v>5775740</v>
      </c>
      <c r="BD21" s="11">
        <f t="shared" si="94"/>
        <v>5775740</v>
      </c>
      <c r="BE21" s="11">
        <f t="shared" si="94"/>
        <v>5775740</v>
      </c>
      <c r="BF21" s="11">
        <f t="shared" si="94"/>
        <v>5775740</v>
      </c>
      <c r="BG21" s="11">
        <f t="shared" si="94"/>
        <v>5775740</v>
      </c>
      <c r="BH21" s="11">
        <f t="shared" si="94"/>
        <v>5775740</v>
      </c>
      <c r="BI21" s="11">
        <f t="shared" si="94"/>
        <v>5775740</v>
      </c>
      <c r="BJ21" s="11">
        <f t="shared" si="78"/>
        <v>5775740</v>
      </c>
      <c r="BK21" s="11">
        <f t="shared" si="78"/>
        <v>5775740</v>
      </c>
      <c r="BL21" s="11">
        <f t="shared" ref="BL21:CM21" si="95">BK21+BL29</f>
        <v>5775740</v>
      </c>
      <c r="BM21" s="11">
        <f t="shared" si="95"/>
        <v>5775740</v>
      </c>
      <c r="BN21" s="11">
        <f t="shared" si="95"/>
        <v>5775740</v>
      </c>
      <c r="BO21" s="11">
        <f t="shared" si="95"/>
        <v>5775740</v>
      </c>
      <c r="BP21" s="11">
        <f t="shared" si="95"/>
        <v>5775740</v>
      </c>
      <c r="BQ21" s="11">
        <f t="shared" si="95"/>
        <v>5775740</v>
      </c>
      <c r="BR21" s="11">
        <f t="shared" si="95"/>
        <v>5775740</v>
      </c>
      <c r="BS21" s="11">
        <f t="shared" si="95"/>
        <v>5775740</v>
      </c>
      <c r="BT21" s="11">
        <f t="shared" si="95"/>
        <v>5775740</v>
      </c>
      <c r="BU21" s="11">
        <f t="shared" si="95"/>
        <v>5775740</v>
      </c>
      <c r="BV21" s="11">
        <f t="shared" si="95"/>
        <v>5775740</v>
      </c>
      <c r="BW21" s="11">
        <f t="shared" si="95"/>
        <v>5775740</v>
      </c>
      <c r="BX21" s="11">
        <f t="shared" si="95"/>
        <v>5775740</v>
      </c>
      <c r="BY21" s="11">
        <f t="shared" si="95"/>
        <v>5775740</v>
      </c>
      <c r="BZ21" s="11">
        <f t="shared" si="95"/>
        <v>5775740</v>
      </c>
      <c r="CA21" s="11">
        <f t="shared" si="95"/>
        <v>5775740</v>
      </c>
      <c r="CB21" s="11">
        <f t="shared" si="95"/>
        <v>5775740</v>
      </c>
      <c r="CC21" s="11">
        <f t="shared" si="95"/>
        <v>5775740</v>
      </c>
      <c r="CD21" s="11">
        <f t="shared" si="95"/>
        <v>5775740</v>
      </c>
      <c r="CE21" s="11">
        <f t="shared" si="95"/>
        <v>5775740</v>
      </c>
      <c r="CF21" s="11">
        <f t="shared" si="95"/>
        <v>5775740</v>
      </c>
      <c r="CG21" s="11">
        <f t="shared" si="95"/>
        <v>5775740</v>
      </c>
      <c r="CH21" s="11">
        <f t="shared" si="95"/>
        <v>5775740</v>
      </c>
      <c r="CI21" s="11">
        <f t="shared" si="95"/>
        <v>5775740</v>
      </c>
      <c r="CJ21" s="11">
        <f t="shared" si="95"/>
        <v>5775740</v>
      </c>
      <c r="CK21" s="11">
        <f t="shared" si="95"/>
        <v>5775740</v>
      </c>
      <c r="CL21" s="11">
        <f t="shared" si="95"/>
        <v>5775740</v>
      </c>
      <c r="CM21" s="11">
        <f t="shared" si="95"/>
        <v>5775740</v>
      </c>
      <c r="CN21" s="11">
        <f t="shared" si="80"/>
        <v>5775740</v>
      </c>
      <c r="CO21" s="11">
        <f t="shared" si="81"/>
        <v>5775740</v>
      </c>
      <c r="CP21" s="11">
        <f t="shared" si="81"/>
        <v>5775740</v>
      </c>
      <c r="CQ21" s="11">
        <f t="shared" ref="CQ21:DE21" si="96">CP21+CQ29</f>
        <v>5775740</v>
      </c>
      <c r="CR21" s="11">
        <f t="shared" si="96"/>
        <v>5775740</v>
      </c>
      <c r="CS21" s="11">
        <f t="shared" si="96"/>
        <v>5775740</v>
      </c>
      <c r="CT21" s="11">
        <f t="shared" si="96"/>
        <v>5775740</v>
      </c>
      <c r="CU21" s="11">
        <f t="shared" si="96"/>
        <v>5775740</v>
      </c>
      <c r="CV21" s="11">
        <f t="shared" si="96"/>
        <v>5775740</v>
      </c>
      <c r="CW21" s="11">
        <f t="shared" si="96"/>
        <v>5775740</v>
      </c>
      <c r="CX21" s="11">
        <f t="shared" si="96"/>
        <v>5775740</v>
      </c>
      <c r="CY21" s="11">
        <f t="shared" si="96"/>
        <v>5775740</v>
      </c>
      <c r="CZ21" s="11">
        <f t="shared" si="96"/>
        <v>5775740</v>
      </c>
      <c r="DA21" s="11">
        <f t="shared" si="96"/>
        <v>5775740</v>
      </c>
      <c r="DB21" s="11">
        <f t="shared" si="96"/>
        <v>5775740</v>
      </c>
      <c r="DC21" s="11">
        <f t="shared" si="96"/>
        <v>5775740</v>
      </c>
      <c r="DD21" s="11">
        <f t="shared" si="96"/>
        <v>5775740</v>
      </c>
      <c r="DE21" s="11">
        <f t="shared" si="96"/>
        <v>5775740</v>
      </c>
      <c r="DF21" s="11">
        <f t="shared" si="83"/>
        <v>5775740</v>
      </c>
      <c r="DG21" s="11">
        <f t="shared" si="83"/>
        <v>5775740</v>
      </c>
      <c r="DH21" s="11">
        <f t="shared" ref="DH21:DK21" si="97">DG21+DH29</f>
        <v>5775740</v>
      </c>
      <c r="DI21" s="11">
        <f t="shared" si="97"/>
        <v>5775740</v>
      </c>
      <c r="DJ21" s="11">
        <f t="shared" si="97"/>
        <v>5775740</v>
      </c>
      <c r="DK21" s="11">
        <f t="shared" si="97"/>
        <v>5775740</v>
      </c>
      <c r="DM21" s="4"/>
      <c r="DN21" s="4"/>
      <c r="DO21" s="4"/>
      <c r="DP21" s="4"/>
      <c r="DQ21" s="4"/>
      <c r="DR21" s="4"/>
      <c r="DS21" s="4"/>
      <c r="DT21" s="4"/>
      <c r="DU21" s="4"/>
    </row>
    <row r="22" spans="1:126" x14ac:dyDescent="0.25">
      <c r="A22" s="1" t="s">
        <v>9</v>
      </c>
      <c r="B22" s="11">
        <f>Metrics!B14*Metrics!$DL6</f>
        <v>57000</v>
      </c>
      <c r="C22" s="11">
        <f>Metrics!C14*Metrics!$DL6</f>
        <v>256500</v>
      </c>
      <c r="D22" s="11">
        <f>Metrics!D14*Metrics!$DL6</f>
        <v>541500</v>
      </c>
      <c r="E22" s="11">
        <f>Metrics!E14*Metrics!$DL6</f>
        <v>598500</v>
      </c>
      <c r="F22" s="11">
        <f>Metrics!F14*Metrics!$DL6</f>
        <v>969000</v>
      </c>
      <c r="G22" s="11">
        <f>Metrics!G14*Metrics!$DL6</f>
        <v>997500</v>
      </c>
      <c r="H22" s="11">
        <f>Metrics!H14*Metrics!$DL6</f>
        <v>1111500</v>
      </c>
      <c r="I22" s="11">
        <f>Metrics!I14*Metrics!$DL6</f>
        <v>1111500</v>
      </c>
      <c r="J22" s="11">
        <f>Metrics!J14*Metrics!$DL6</f>
        <v>1140000</v>
      </c>
      <c r="K22" s="11">
        <f>Metrics!K14*Metrics!$DL6</f>
        <v>1482000</v>
      </c>
      <c r="L22" s="11">
        <f>(Metrics!L14-Metrics!$K14)*Metrics!$DM6+Metrics!$K22</f>
        <v>1540200</v>
      </c>
      <c r="M22" s="11">
        <f>(Metrics!M14-Metrics!$K14)*Metrics!$DM6+Metrics!$K22</f>
        <v>1714800</v>
      </c>
      <c r="N22" s="11">
        <f>(Metrics!N14-Metrics!$K14)*Metrics!$DM6+Metrics!$K22</f>
        <v>1773000</v>
      </c>
      <c r="O22" s="11">
        <f>(Metrics!O14-Metrics!$K14)*Metrics!$DM6+Metrics!$K22</f>
        <v>1918500</v>
      </c>
      <c r="P22" s="11">
        <f>(Metrics!P14-Metrics!$K14)*Metrics!$DM6+Metrics!$K22</f>
        <v>4828500</v>
      </c>
      <c r="Q22" s="11">
        <f>IF(Q6="","",((Metrics!Q14-Metrics!$K14)*Metrics!$DM6+Metrics!$K22))</f>
        <v>5788800</v>
      </c>
      <c r="R22" s="11">
        <f>IF(R6="","",((Metrics!R14-Metrics!$K14)*Metrics!$DM6+Metrics!$K22))</f>
        <v>6894600</v>
      </c>
      <c r="S22" s="11">
        <f>IF(S6="","",((Metrics!S14-Metrics!$K14)*Metrics!$DM6+Metrics!$K22))</f>
        <v>8640600</v>
      </c>
      <c r="T22" s="11">
        <f>IF(T6="","",((Metrics!T14-Metrics!$K14)*Metrics!$DM6+Metrics!$K22))</f>
        <v>10444800</v>
      </c>
      <c r="U22" s="11">
        <f>IF(U6="","",((Metrics!U14-Metrics!$K14)*Metrics!$DM6+Metrics!$K22))</f>
        <v>10648500</v>
      </c>
      <c r="V22" s="11">
        <f>IF(V6="","",((Metrics!V14-Metrics!$K14)*Metrics!$DM6+Metrics!$K22))</f>
        <v>10648500</v>
      </c>
      <c r="W22" s="11">
        <f>IF(W6="","",((Metrics!W14-Metrics!$K14)*Metrics!$DM6+Metrics!$K22))</f>
        <v>14664300</v>
      </c>
      <c r="X22" s="11">
        <f t="shared" si="85"/>
        <v>14664300</v>
      </c>
      <c r="Y22" s="11">
        <f t="shared" si="75"/>
        <v>14664300</v>
      </c>
      <c r="Z22" s="11">
        <f t="shared" si="75"/>
        <v>14664300</v>
      </c>
      <c r="AA22" s="11">
        <f t="shared" si="75"/>
        <v>14664300</v>
      </c>
      <c r="AB22" s="11">
        <f t="shared" si="75"/>
        <v>14664300</v>
      </c>
      <c r="AC22" s="11">
        <f t="shared" si="75"/>
        <v>14664300</v>
      </c>
      <c r="AD22" s="11">
        <f t="shared" si="75"/>
        <v>14664300</v>
      </c>
      <c r="AE22" s="11">
        <f t="shared" si="75"/>
        <v>14664300</v>
      </c>
      <c r="AF22" s="11">
        <f t="shared" si="75"/>
        <v>14664300</v>
      </c>
      <c r="AG22" s="11">
        <f t="shared" si="75"/>
        <v>14664300</v>
      </c>
      <c r="AH22" s="11">
        <f t="shared" si="75"/>
        <v>14664300</v>
      </c>
      <c r="AI22" s="11">
        <f t="shared" si="75"/>
        <v>14664300</v>
      </c>
      <c r="AJ22" s="11">
        <f t="shared" si="75"/>
        <v>14664300</v>
      </c>
      <c r="AK22" s="11">
        <f t="shared" si="75"/>
        <v>14664300</v>
      </c>
      <c r="AL22" s="11">
        <f t="shared" si="75"/>
        <v>14664300</v>
      </c>
      <c r="AM22" s="11">
        <f t="shared" si="75"/>
        <v>14664300</v>
      </c>
      <c r="AN22" s="11">
        <f t="shared" si="75"/>
        <v>14664300</v>
      </c>
      <c r="AO22" s="11">
        <f t="shared" si="75"/>
        <v>14664300</v>
      </c>
      <c r="AP22" s="11">
        <f t="shared" si="75"/>
        <v>14664300</v>
      </c>
      <c r="AQ22" s="11">
        <f t="shared" si="75"/>
        <v>14664300</v>
      </c>
      <c r="AR22" s="11">
        <f t="shared" si="75"/>
        <v>14664300</v>
      </c>
      <c r="AS22" s="11">
        <f t="shared" si="75"/>
        <v>14664300</v>
      </c>
      <c r="AT22" s="11">
        <f t="shared" si="75"/>
        <v>14664300</v>
      </c>
      <c r="AU22" s="11">
        <f t="shared" si="75"/>
        <v>14664300</v>
      </c>
      <c r="AV22" s="11">
        <f t="shared" si="75"/>
        <v>14664300</v>
      </c>
      <c r="AW22" s="11">
        <f t="shared" si="75"/>
        <v>14664300</v>
      </c>
      <c r="AX22" s="11">
        <f t="shared" si="76"/>
        <v>14664300</v>
      </c>
      <c r="AY22" s="11">
        <f t="shared" si="76"/>
        <v>14664300</v>
      </c>
      <c r="AZ22" s="11">
        <f t="shared" ref="AZ22:BI22" si="98">AY22+AZ30</f>
        <v>14664300</v>
      </c>
      <c r="BA22" s="11">
        <f t="shared" si="98"/>
        <v>14664300</v>
      </c>
      <c r="BB22" s="11">
        <f t="shared" si="98"/>
        <v>14664300</v>
      </c>
      <c r="BC22" s="11">
        <f t="shared" si="98"/>
        <v>14664300</v>
      </c>
      <c r="BD22" s="11">
        <f t="shared" si="98"/>
        <v>14664300</v>
      </c>
      <c r="BE22" s="11">
        <f t="shared" si="98"/>
        <v>14664300</v>
      </c>
      <c r="BF22" s="11">
        <f t="shared" si="98"/>
        <v>14664300</v>
      </c>
      <c r="BG22" s="11">
        <f t="shared" si="98"/>
        <v>14664300</v>
      </c>
      <c r="BH22" s="11">
        <f t="shared" si="98"/>
        <v>14664300</v>
      </c>
      <c r="BI22" s="11">
        <f t="shared" si="98"/>
        <v>14664300</v>
      </c>
      <c r="BJ22" s="11">
        <f t="shared" si="78"/>
        <v>14664300</v>
      </c>
      <c r="BK22" s="11">
        <f t="shared" si="78"/>
        <v>14664300</v>
      </c>
      <c r="BL22" s="11">
        <f t="shared" ref="BL22:CM22" si="99">BK22+BL30</f>
        <v>14664300</v>
      </c>
      <c r="BM22" s="11">
        <f t="shared" si="99"/>
        <v>14664300</v>
      </c>
      <c r="BN22" s="11">
        <f t="shared" si="99"/>
        <v>14664300</v>
      </c>
      <c r="BO22" s="11">
        <f t="shared" si="99"/>
        <v>14664300</v>
      </c>
      <c r="BP22" s="11">
        <f t="shared" si="99"/>
        <v>14664300</v>
      </c>
      <c r="BQ22" s="11">
        <f t="shared" si="99"/>
        <v>14664300</v>
      </c>
      <c r="BR22" s="11">
        <f t="shared" si="99"/>
        <v>14664300</v>
      </c>
      <c r="BS22" s="11">
        <f t="shared" si="99"/>
        <v>14664300</v>
      </c>
      <c r="BT22" s="11">
        <f t="shared" si="99"/>
        <v>14664300</v>
      </c>
      <c r="BU22" s="11">
        <f t="shared" si="99"/>
        <v>14664300</v>
      </c>
      <c r="BV22" s="11">
        <f t="shared" si="99"/>
        <v>14664300</v>
      </c>
      <c r="BW22" s="11">
        <f t="shared" si="99"/>
        <v>14664300</v>
      </c>
      <c r="BX22" s="11">
        <f t="shared" si="99"/>
        <v>14664300</v>
      </c>
      <c r="BY22" s="11">
        <f t="shared" si="99"/>
        <v>14664300</v>
      </c>
      <c r="BZ22" s="11">
        <f t="shared" si="99"/>
        <v>14664300</v>
      </c>
      <c r="CA22" s="11">
        <f t="shared" si="99"/>
        <v>14664300</v>
      </c>
      <c r="CB22" s="11">
        <f t="shared" si="99"/>
        <v>14664300</v>
      </c>
      <c r="CC22" s="11">
        <f t="shared" si="99"/>
        <v>14664300</v>
      </c>
      <c r="CD22" s="11">
        <f t="shared" si="99"/>
        <v>14664300</v>
      </c>
      <c r="CE22" s="11">
        <f t="shared" si="99"/>
        <v>14664300</v>
      </c>
      <c r="CF22" s="11">
        <f t="shared" si="99"/>
        <v>14664300</v>
      </c>
      <c r="CG22" s="11">
        <f t="shared" si="99"/>
        <v>14664300</v>
      </c>
      <c r="CH22" s="11">
        <f t="shared" si="99"/>
        <v>14664300</v>
      </c>
      <c r="CI22" s="11">
        <f t="shared" si="99"/>
        <v>14664300</v>
      </c>
      <c r="CJ22" s="11">
        <f t="shared" si="99"/>
        <v>14664300</v>
      </c>
      <c r="CK22" s="11">
        <f t="shared" si="99"/>
        <v>14664300</v>
      </c>
      <c r="CL22" s="11">
        <f t="shared" si="99"/>
        <v>14664300</v>
      </c>
      <c r="CM22" s="11">
        <f t="shared" si="99"/>
        <v>14664300</v>
      </c>
      <c r="CN22" s="11">
        <f t="shared" si="80"/>
        <v>14664300</v>
      </c>
      <c r="CO22" s="11">
        <f t="shared" si="81"/>
        <v>14664300</v>
      </c>
      <c r="CP22" s="11">
        <f t="shared" si="81"/>
        <v>14664300</v>
      </c>
      <c r="CQ22" s="11">
        <f t="shared" ref="CQ22:DE22" si="100">CP22+CQ30</f>
        <v>14664300</v>
      </c>
      <c r="CR22" s="11">
        <f t="shared" si="100"/>
        <v>14664300</v>
      </c>
      <c r="CS22" s="11">
        <f t="shared" si="100"/>
        <v>14664300</v>
      </c>
      <c r="CT22" s="11">
        <f t="shared" si="100"/>
        <v>14664300</v>
      </c>
      <c r="CU22" s="11">
        <f t="shared" si="100"/>
        <v>14664300</v>
      </c>
      <c r="CV22" s="11">
        <f t="shared" si="100"/>
        <v>14664300</v>
      </c>
      <c r="CW22" s="11">
        <f t="shared" si="100"/>
        <v>14664300</v>
      </c>
      <c r="CX22" s="11">
        <f t="shared" si="100"/>
        <v>14664300</v>
      </c>
      <c r="CY22" s="11">
        <f t="shared" si="100"/>
        <v>14664300</v>
      </c>
      <c r="CZ22" s="11">
        <f t="shared" si="100"/>
        <v>14664300</v>
      </c>
      <c r="DA22" s="11">
        <f t="shared" si="100"/>
        <v>14664300</v>
      </c>
      <c r="DB22" s="11">
        <f t="shared" si="100"/>
        <v>14664300</v>
      </c>
      <c r="DC22" s="11">
        <f t="shared" si="100"/>
        <v>14664300</v>
      </c>
      <c r="DD22" s="11">
        <f t="shared" si="100"/>
        <v>14664300</v>
      </c>
      <c r="DE22" s="11">
        <f t="shared" si="100"/>
        <v>14664300</v>
      </c>
      <c r="DF22" s="11">
        <f t="shared" si="83"/>
        <v>14664300</v>
      </c>
      <c r="DG22" s="11">
        <f t="shared" si="83"/>
        <v>14664300</v>
      </c>
      <c r="DH22" s="11">
        <f t="shared" ref="DH22:DK22" si="101">DG22+DH30</f>
        <v>14664300</v>
      </c>
      <c r="DI22" s="11">
        <f t="shared" si="101"/>
        <v>14664300</v>
      </c>
      <c r="DJ22" s="11">
        <f t="shared" si="101"/>
        <v>14664300</v>
      </c>
      <c r="DK22" s="11">
        <f t="shared" si="101"/>
        <v>14664300</v>
      </c>
      <c r="DM22" s="4"/>
      <c r="DN22" s="4"/>
      <c r="DO22" s="4"/>
      <c r="DP22" s="4"/>
      <c r="DQ22" s="4"/>
      <c r="DR22" s="4"/>
      <c r="DS22" s="4"/>
      <c r="DT22" s="4"/>
      <c r="DU22" s="4"/>
    </row>
    <row r="23" spans="1:126" ht="15.75" thickBot="1" x14ac:dyDescent="0.3">
      <c r="A23" s="6" t="s">
        <v>11</v>
      </c>
      <c r="B23" s="11">
        <f>Metrics!B15*Metrics!$DL7</f>
        <v>0</v>
      </c>
      <c r="C23" s="11">
        <f>Metrics!C15*Metrics!$DL7</f>
        <v>0</v>
      </c>
      <c r="D23" s="11">
        <f>Metrics!D15*Metrics!$DL7</f>
        <v>0</v>
      </c>
      <c r="E23" s="11">
        <f>Metrics!E15*Metrics!$DL7</f>
        <v>0</v>
      </c>
      <c r="F23" s="11">
        <f>Metrics!F15*Metrics!$DL7</f>
        <v>0</v>
      </c>
      <c r="G23" s="11">
        <f>Metrics!G15*Metrics!$DL7</f>
        <v>0</v>
      </c>
      <c r="H23" s="11">
        <f>Metrics!H15*Metrics!$DL7</f>
        <v>0</v>
      </c>
      <c r="I23" s="11">
        <f>Metrics!I15*Metrics!$DL7</f>
        <v>0</v>
      </c>
      <c r="J23" s="11">
        <f>Metrics!J15*Metrics!$DL7</f>
        <v>0</v>
      </c>
      <c r="K23" s="11">
        <f>Metrics!K15*Metrics!$DL7</f>
        <v>0</v>
      </c>
      <c r="L23" s="11">
        <f>(Metrics!L15-Metrics!$K15)*Metrics!$DM7+Metrics!$K23</f>
        <v>0</v>
      </c>
      <c r="M23" s="11">
        <f>(Metrics!M15-Metrics!$K15)*Metrics!$DM7+Metrics!$K23</f>
        <v>60600</v>
      </c>
      <c r="N23" s="11">
        <f>(Metrics!N15-Metrics!$K15)*Metrics!$DM7+Metrics!$K23</f>
        <v>60600</v>
      </c>
      <c r="O23" s="11">
        <f>(Metrics!O15-Metrics!$K15)*Metrics!$DM7+Metrics!$K23</f>
        <v>60600</v>
      </c>
      <c r="P23" s="11">
        <f>(Metrics!P15-Metrics!$K15)*Metrics!$DM7+Metrics!$K23</f>
        <v>60600</v>
      </c>
      <c r="Q23" s="11">
        <f>IF(Q7="","",((Metrics!Q15-Metrics!$K15)*Metrics!$DM7+Metrics!$K23))</f>
        <v>60600</v>
      </c>
      <c r="R23" s="11">
        <f>IF(R7="","",((Metrics!R15-Metrics!$K15)*Metrics!$DM7+Metrics!$K23))</f>
        <v>60600</v>
      </c>
      <c r="S23" s="11">
        <f>IF(S7="","",((Metrics!S15-Metrics!$K15)*Metrics!$DM7+Metrics!$K23))</f>
        <v>60600</v>
      </c>
      <c r="T23" s="11">
        <f>IF(T7="","",((Metrics!T15-Metrics!$K15)*Metrics!$DM7+Metrics!$K23))</f>
        <v>60600</v>
      </c>
      <c r="U23" s="11">
        <f>IF(U7="","",((Metrics!U15-Metrics!$K15)*Metrics!$DM7+Metrics!$K23))</f>
        <v>60600</v>
      </c>
      <c r="V23" s="11">
        <f>IF(V7="","",((Metrics!V15-Metrics!$K15)*Metrics!$DM7+Metrics!$K23))</f>
        <v>60600</v>
      </c>
      <c r="W23" s="11">
        <f>IF(W7="","",((Metrics!W15-Metrics!$K15)*Metrics!$DM7+Metrics!$K23))</f>
        <v>60600</v>
      </c>
      <c r="X23" s="11">
        <f t="shared" si="85"/>
        <v>60600</v>
      </c>
      <c r="Y23" s="11">
        <f t="shared" si="75"/>
        <v>60600</v>
      </c>
      <c r="Z23" s="11">
        <f t="shared" si="75"/>
        <v>60600</v>
      </c>
      <c r="AA23" s="11">
        <f t="shared" si="75"/>
        <v>60600</v>
      </c>
      <c r="AB23" s="11">
        <f t="shared" si="75"/>
        <v>60600</v>
      </c>
      <c r="AC23" s="11">
        <f t="shared" si="75"/>
        <v>60600</v>
      </c>
      <c r="AD23" s="11">
        <f t="shared" si="75"/>
        <v>60600</v>
      </c>
      <c r="AE23" s="11">
        <f t="shared" si="75"/>
        <v>60600</v>
      </c>
      <c r="AF23" s="11">
        <f t="shared" si="75"/>
        <v>60600</v>
      </c>
      <c r="AG23" s="11">
        <f t="shared" si="75"/>
        <v>60600</v>
      </c>
      <c r="AH23" s="11">
        <f t="shared" si="75"/>
        <v>60600</v>
      </c>
      <c r="AI23" s="11">
        <f t="shared" si="75"/>
        <v>60600</v>
      </c>
      <c r="AJ23" s="11">
        <f t="shared" si="75"/>
        <v>60600</v>
      </c>
      <c r="AK23" s="11">
        <f t="shared" si="75"/>
        <v>60600</v>
      </c>
      <c r="AL23" s="11">
        <f t="shared" si="75"/>
        <v>60600</v>
      </c>
      <c r="AM23" s="11">
        <f t="shared" si="75"/>
        <v>60600</v>
      </c>
      <c r="AN23" s="11">
        <f t="shared" si="75"/>
        <v>60600</v>
      </c>
      <c r="AO23" s="11">
        <f t="shared" si="75"/>
        <v>60600</v>
      </c>
      <c r="AP23" s="11">
        <f t="shared" si="75"/>
        <v>60600</v>
      </c>
      <c r="AQ23" s="11">
        <f t="shared" si="75"/>
        <v>60600</v>
      </c>
      <c r="AR23" s="11">
        <f t="shared" si="75"/>
        <v>60600</v>
      </c>
      <c r="AS23" s="11">
        <f t="shared" si="75"/>
        <v>60600</v>
      </c>
      <c r="AT23" s="11">
        <f t="shared" si="75"/>
        <v>60600</v>
      </c>
      <c r="AU23" s="11">
        <f t="shared" si="75"/>
        <v>60600</v>
      </c>
      <c r="AV23" s="11">
        <f t="shared" si="75"/>
        <v>60600</v>
      </c>
      <c r="AW23" s="11">
        <f t="shared" si="75"/>
        <v>60600</v>
      </c>
      <c r="AX23" s="11">
        <f t="shared" si="76"/>
        <v>60600</v>
      </c>
      <c r="AY23" s="11">
        <f t="shared" si="76"/>
        <v>60600</v>
      </c>
      <c r="AZ23" s="11">
        <f t="shared" ref="AZ23:BI23" si="102">AY23+AZ31</f>
        <v>60600</v>
      </c>
      <c r="BA23" s="11">
        <f t="shared" si="102"/>
        <v>60600</v>
      </c>
      <c r="BB23" s="11">
        <f t="shared" si="102"/>
        <v>60600</v>
      </c>
      <c r="BC23" s="11">
        <f t="shared" si="102"/>
        <v>60600</v>
      </c>
      <c r="BD23" s="11">
        <f t="shared" si="102"/>
        <v>60600</v>
      </c>
      <c r="BE23" s="11">
        <f t="shared" si="102"/>
        <v>60600</v>
      </c>
      <c r="BF23" s="11">
        <f t="shared" si="102"/>
        <v>60600</v>
      </c>
      <c r="BG23" s="11">
        <f t="shared" si="102"/>
        <v>60600</v>
      </c>
      <c r="BH23" s="11">
        <f t="shared" si="102"/>
        <v>60600</v>
      </c>
      <c r="BI23" s="11">
        <f t="shared" si="102"/>
        <v>60600</v>
      </c>
      <c r="BJ23" s="11">
        <f t="shared" si="78"/>
        <v>60600</v>
      </c>
      <c r="BK23" s="11">
        <f t="shared" si="78"/>
        <v>60600</v>
      </c>
      <c r="BL23" s="11">
        <f t="shared" ref="BL23:CM23" si="103">BK23+BL31</f>
        <v>60600</v>
      </c>
      <c r="BM23" s="11">
        <f t="shared" si="103"/>
        <v>60600</v>
      </c>
      <c r="BN23" s="11">
        <f t="shared" si="103"/>
        <v>60600</v>
      </c>
      <c r="BO23" s="11">
        <f t="shared" si="103"/>
        <v>60600</v>
      </c>
      <c r="BP23" s="11">
        <f t="shared" si="103"/>
        <v>60600</v>
      </c>
      <c r="BQ23" s="11">
        <f t="shared" si="103"/>
        <v>60600</v>
      </c>
      <c r="BR23" s="11">
        <f t="shared" si="103"/>
        <v>60600</v>
      </c>
      <c r="BS23" s="11">
        <f t="shared" si="103"/>
        <v>60600</v>
      </c>
      <c r="BT23" s="11">
        <f t="shared" si="103"/>
        <v>60600</v>
      </c>
      <c r="BU23" s="11">
        <f t="shared" si="103"/>
        <v>60600</v>
      </c>
      <c r="BV23" s="11">
        <f t="shared" si="103"/>
        <v>60600</v>
      </c>
      <c r="BW23" s="11">
        <f t="shared" si="103"/>
        <v>60600</v>
      </c>
      <c r="BX23" s="11">
        <f t="shared" si="103"/>
        <v>60600</v>
      </c>
      <c r="BY23" s="11">
        <f t="shared" si="103"/>
        <v>60600</v>
      </c>
      <c r="BZ23" s="11">
        <f t="shared" si="103"/>
        <v>60600</v>
      </c>
      <c r="CA23" s="11">
        <f t="shared" si="103"/>
        <v>60600</v>
      </c>
      <c r="CB23" s="11">
        <f t="shared" si="103"/>
        <v>60600</v>
      </c>
      <c r="CC23" s="11">
        <f t="shared" si="103"/>
        <v>60600</v>
      </c>
      <c r="CD23" s="11">
        <f t="shared" si="103"/>
        <v>60600</v>
      </c>
      <c r="CE23" s="11">
        <f t="shared" si="103"/>
        <v>60600</v>
      </c>
      <c r="CF23" s="11">
        <f t="shared" si="103"/>
        <v>60600</v>
      </c>
      <c r="CG23" s="11">
        <f t="shared" si="103"/>
        <v>60600</v>
      </c>
      <c r="CH23" s="11">
        <f t="shared" si="103"/>
        <v>60600</v>
      </c>
      <c r="CI23" s="11">
        <f t="shared" si="103"/>
        <v>60600</v>
      </c>
      <c r="CJ23" s="11">
        <f t="shared" si="103"/>
        <v>60600</v>
      </c>
      <c r="CK23" s="11">
        <f t="shared" si="103"/>
        <v>60600</v>
      </c>
      <c r="CL23" s="11">
        <f t="shared" si="103"/>
        <v>60600</v>
      </c>
      <c r="CM23" s="11">
        <f t="shared" si="103"/>
        <v>60600</v>
      </c>
      <c r="CN23" s="11">
        <f t="shared" si="80"/>
        <v>60600</v>
      </c>
      <c r="CO23" s="11">
        <f t="shared" si="81"/>
        <v>60600</v>
      </c>
      <c r="CP23" s="11">
        <f t="shared" si="81"/>
        <v>60600</v>
      </c>
      <c r="CQ23" s="11">
        <f t="shared" ref="CQ23:DE23" si="104">CP23+CQ31</f>
        <v>60600</v>
      </c>
      <c r="CR23" s="11">
        <f t="shared" si="104"/>
        <v>60600</v>
      </c>
      <c r="CS23" s="11">
        <f t="shared" si="104"/>
        <v>60600</v>
      </c>
      <c r="CT23" s="11">
        <f t="shared" si="104"/>
        <v>60600</v>
      </c>
      <c r="CU23" s="11">
        <f t="shared" si="104"/>
        <v>60600</v>
      </c>
      <c r="CV23" s="11">
        <f t="shared" si="104"/>
        <v>60600</v>
      </c>
      <c r="CW23" s="11">
        <f t="shared" si="104"/>
        <v>60600</v>
      </c>
      <c r="CX23" s="11">
        <f t="shared" si="104"/>
        <v>60600</v>
      </c>
      <c r="CY23" s="11">
        <f t="shared" si="104"/>
        <v>60600</v>
      </c>
      <c r="CZ23" s="11">
        <f t="shared" si="104"/>
        <v>60600</v>
      </c>
      <c r="DA23" s="11">
        <f t="shared" si="104"/>
        <v>60600</v>
      </c>
      <c r="DB23" s="11">
        <f t="shared" si="104"/>
        <v>60600</v>
      </c>
      <c r="DC23" s="11">
        <f t="shared" si="104"/>
        <v>60600</v>
      </c>
      <c r="DD23" s="11">
        <f t="shared" si="104"/>
        <v>60600</v>
      </c>
      <c r="DE23" s="11">
        <f t="shared" si="104"/>
        <v>60600</v>
      </c>
      <c r="DF23" s="11">
        <f t="shared" si="83"/>
        <v>60600</v>
      </c>
      <c r="DG23" s="11">
        <f t="shared" si="83"/>
        <v>60600</v>
      </c>
      <c r="DH23" s="11">
        <f t="shared" ref="DH23:DK23" si="105">DG23+DH31</f>
        <v>60600</v>
      </c>
      <c r="DI23" s="11">
        <f t="shared" si="105"/>
        <v>60600</v>
      </c>
      <c r="DJ23" s="11">
        <f t="shared" si="105"/>
        <v>60600</v>
      </c>
      <c r="DK23" s="11">
        <f t="shared" si="105"/>
        <v>60600</v>
      </c>
      <c r="DM23" s="4"/>
      <c r="DN23" s="4"/>
      <c r="DO23" s="4"/>
      <c r="DP23" s="4"/>
      <c r="DQ23" s="4"/>
      <c r="DR23" s="4"/>
      <c r="DS23" s="4"/>
      <c r="DT23" s="4"/>
      <c r="DU23" s="4"/>
    </row>
    <row r="24" spans="1:126" s="2" customFormat="1" ht="15.75" thickBot="1" x14ac:dyDescent="0.3">
      <c r="A24" s="20" t="s">
        <v>1</v>
      </c>
      <c r="B24" s="21">
        <f t="shared" ref="B24:W24" si="106">SUM(B18:B23)</f>
        <v>771400</v>
      </c>
      <c r="C24" s="21">
        <f t="shared" si="106"/>
        <v>2112300</v>
      </c>
      <c r="D24" s="21">
        <f t="shared" si="106"/>
        <v>5387100</v>
      </c>
      <c r="E24" s="21">
        <f t="shared" si="106"/>
        <v>6028700</v>
      </c>
      <c r="F24" s="21">
        <f t="shared" si="106"/>
        <v>7615400</v>
      </c>
      <c r="G24" s="21">
        <f t="shared" si="106"/>
        <v>9757100</v>
      </c>
      <c r="H24" s="21">
        <f t="shared" si="106"/>
        <v>11614300</v>
      </c>
      <c r="I24" s="21">
        <f t="shared" si="106"/>
        <v>12830700</v>
      </c>
      <c r="J24" s="21">
        <f t="shared" si="106"/>
        <v>15535400</v>
      </c>
      <c r="K24" s="21">
        <f t="shared" si="106"/>
        <v>20401200</v>
      </c>
      <c r="L24" s="21">
        <f t="shared" si="106"/>
        <v>22640200</v>
      </c>
      <c r="M24" s="21">
        <f t="shared" si="106"/>
        <v>27120600</v>
      </c>
      <c r="N24" s="21">
        <f t="shared" si="106"/>
        <v>28217000</v>
      </c>
      <c r="O24" s="21">
        <f t="shared" si="106"/>
        <v>30100000</v>
      </c>
      <c r="P24" s="21">
        <f t="shared" si="106"/>
        <v>34386900</v>
      </c>
      <c r="Q24" s="21">
        <f t="shared" si="106"/>
        <v>36206500</v>
      </c>
      <c r="R24" s="21">
        <f t="shared" si="106"/>
        <v>38528800</v>
      </c>
      <c r="S24" s="21">
        <f t="shared" si="106"/>
        <v>44038900</v>
      </c>
      <c r="T24" s="21">
        <f t="shared" si="106"/>
        <v>52529100</v>
      </c>
      <c r="U24" s="21">
        <f t="shared" si="106"/>
        <v>56384500</v>
      </c>
      <c r="V24" s="21">
        <f t="shared" si="106"/>
        <v>58154500</v>
      </c>
      <c r="W24" s="21">
        <f t="shared" si="106"/>
        <v>63585400</v>
      </c>
      <c r="X24" s="21">
        <f t="shared" ref="X24:Y24" si="107">SUM(X18:X23)</f>
        <v>64602492</v>
      </c>
      <c r="Y24" s="21">
        <f t="shared" si="107"/>
        <v>66402195</v>
      </c>
      <c r="Z24" s="21">
        <f t="shared" ref="Z24:AA24" si="108">SUM(Z18:Z23)</f>
        <v>70825937</v>
      </c>
      <c r="AA24" s="21">
        <f t="shared" si="108"/>
        <v>75249679</v>
      </c>
      <c r="AB24" s="21">
        <f t="shared" ref="AB24:AC24" si="109">SUM(AB18:AB23)</f>
        <v>76262446</v>
      </c>
      <c r="AC24" s="21">
        <f t="shared" si="109"/>
        <v>78766900</v>
      </c>
      <c r="AD24" s="21">
        <f t="shared" ref="AD24" si="110">SUM(AD18:AD23)</f>
        <v>80911218</v>
      </c>
      <c r="AE24" s="21">
        <f t="shared" ref="AE24:AG24" si="111">SUM(AE18:AE23)</f>
        <v>83505828</v>
      </c>
      <c r="AF24" s="21">
        <f t="shared" ref="AF24" si="112">SUM(AF18:AF23)</f>
        <v>85014634</v>
      </c>
      <c r="AG24" s="21">
        <f t="shared" si="111"/>
        <v>86416826</v>
      </c>
      <c r="AH24" s="21">
        <f t="shared" ref="AH24:AI24" si="113">SUM(AH18:AH23)</f>
        <v>86880834</v>
      </c>
      <c r="AI24" s="21">
        <f t="shared" si="113"/>
        <v>90050774</v>
      </c>
      <c r="AJ24" s="21">
        <f t="shared" ref="AJ24" si="114">SUM(AJ18:AJ23)</f>
        <v>91450098</v>
      </c>
      <c r="AK24" s="21">
        <f t="shared" ref="AK24:AL24" si="115">SUM(AK18:AK23)</f>
        <v>91514522</v>
      </c>
      <c r="AL24" s="21">
        <f t="shared" si="115"/>
        <v>92130158</v>
      </c>
      <c r="AM24" s="21">
        <f>SUM(AM18:AM23)</f>
        <v>92563884</v>
      </c>
      <c r="AN24" s="21">
        <f t="shared" ref="AN24:AO24" si="116">SUM(AN18:AN23)</f>
        <v>92723450</v>
      </c>
      <c r="AO24" s="21">
        <f t="shared" si="116"/>
        <v>94883460</v>
      </c>
      <c r="AP24" s="21">
        <f t="shared" ref="AP24" si="117">SUM(AP18:AP23)</f>
        <v>94936674</v>
      </c>
      <c r="AQ24" s="21">
        <f t="shared" ref="AQ24" si="118">SUM(AQ18:AQ23)</f>
        <v>95354726</v>
      </c>
      <c r="AR24" s="21">
        <f t="shared" ref="AR24" si="119">SUM(AR18:AR23)</f>
        <v>95550334</v>
      </c>
      <c r="AS24" s="21">
        <f t="shared" ref="AS24" si="120">SUM(AS18:AS23)</f>
        <v>95726122</v>
      </c>
      <c r="AT24" s="21">
        <f t="shared" ref="AT24" si="121">SUM(AT18:AT23)</f>
        <v>95938738</v>
      </c>
      <c r="AU24" s="21">
        <f t="shared" ref="AU24:BB24" si="122">SUM(AU18:AU23)</f>
        <v>96416807</v>
      </c>
      <c r="AV24" s="21">
        <f t="shared" si="122"/>
        <v>96582482</v>
      </c>
      <c r="AW24" s="21">
        <f t="shared" si="122"/>
        <v>97084888</v>
      </c>
      <c r="AX24" s="21">
        <f t="shared" si="122"/>
        <v>97547272</v>
      </c>
      <c r="AY24" s="21">
        <f t="shared" si="122"/>
        <v>98163269</v>
      </c>
      <c r="AZ24" s="21">
        <f t="shared" si="122"/>
        <v>98710563</v>
      </c>
      <c r="BA24" s="21">
        <f t="shared" si="122"/>
        <v>99216258</v>
      </c>
      <c r="BB24" s="21">
        <f t="shared" si="122"/>
        <v>99825709</v>
      </c>
      <c r="BC24" s="21">
        <f t="shared" ref="BC24:BD24" si="123">SUM(BC18:BC23)</f>
        <v>100483765</v>
      </c>
      <c r="BD24" s="21">
        <f t="shared" si="123"/>
        <v>101869579</v>
      </c>
      <c r="BE24" s="21">
        <f t="shared" ref="BE24:BF24" si="124">SUM(BE18:BE23)</f>
        <v>102696825</v>
      </c>
      <c r="BF24" s="21">
        <f t="shared" si="124"/>
        <v>103183245</v>
      </c>
      <c r="BG24" s="21">
        <f t="shared" ref="BG24:BH24" si="125">SUM(BG18:BG23)</f>
        <v>104076320</v>
      </c>
      <c r="BH24" s="21">
        <f t="shared" si="125"/>
        <v>104586818</v>
      </c>
      <c r="BI24" s="21">
        <f t="shared" ref="BI24:BJ24" si="126">SUM(BI18:BI23)</f>
        <v>105128572</v>
      </c>
      <c r="BJ24" s="21">
        <f t="shared" si="126"/>
        <v>105431508</v>
      </c>
      <c r="BK24" s="21">
        <f t="shared" ref="BK24:BL24" si="127">SUM(BK18:BK23)</f>
        <v>105856330</v>
      </c>
      <c r="BL24" s="21">
        <f t="shared" si="127"/>
        <v>108257288</v>
      </c>
      <c r="BM24" s="21">
        <f t="shared" ref="BM24:BN24" si="128">SUM(BM18:BM23)</f>
        <v>111383690</v>
      </c>
      <c r="BN24" s="21">
        <f t="shared" si="128"/>
        <v>112677602</v>
      </c>
      <c r="BO24" s="21">
        <f t="shared" ref="BO24:BP24" si="129">SUM(BO18:BO23)</f>
        <v>115180227</v>
      </c>
      <c r="BP24" s="21">
        <f t="shared" si="129"/>
        <v>116645755</v>
      </c>
      <c r="BQ24" s="21">
        <f t="shared" ref="BQ24:BR24" si="130">SUM(BQ18:BQ23)</f>
        <v>117377862</v>
      </c>
      <c r="BR24" s="21">
        <f t="shared" si="130"/>
        <v>118486876</v>
      </c>
      <c r="BS24" s="21">
        <f t="shared" ref="BS24:BT24" si="131">SUM(BS18:BS23)</f>
        <v>119065360</v>
      </c>
      <c r="BT24" s="21">
        <f t="shared" si="131"/>
        <v>119770188</v>
      </c>
      <c r="BU24" s="21">
        <f t="shared" ref="BU24:BV24" si="132">SUM(BU18:BU23)</f>
        <v>121699871</v>
      </c>
      <c r="BV24" s="21">
        <f t="shared" si="132"/>
        <v>123157030</v>
      </c>
      <c r="BW24" s="21">
        <f t="shared" ref="BW24:BX24" si="133">SUM(BW18:BW23)</f>
        <v>123233914</v>
      </c>
      <c r="BX24" s="21">
        <f t="shared" si="133"/>
        <v>123493366</v>
      </c>
      <c r="BY24" s="21">
        <f t="shared" ref="BY24:BZ24" si="134">SUM(BY18:BY23)</f>
        <v>124169829</v>
      </c>
      <c r="BZ24" s="21">
        <f t="shared" si="134"/>
        <v>124507579</v>
      </c>
      <c r="CA24" s="21">
        <f t="shared" ref="CA24:CB24" si="135">SUM(CA18:CA23)</f>
        <v>124622761</v>
      </c>
      <c r="CB24" s="21">
        <f t="shared" si="135"/>
        <v>124622761</v>
      </c>
      <c r="CC24" s="21">
        <f t="shared" ref="CC24:CD24" si="136">SUM(CC18:CC23)</f>
        <v>125071622</v>
      </c>
      <c r="CD24" s="21">
        <f t="shared" si="136"/>
        <v>125714751</v>
      </c>
      <c r="CE24" s="21">
        <f t="shared" ref="CE24:CF24" si="137">SUM(CE18:CE23)</f>
        <v>127805857</v>
      </c>
      <c r="CF24" s="21">
        <f t="shared" si="137"/>
        <v>128572370</v>
      </c>
      <c r="CG24" s="21">
        <f t="shared" ref="CG24:CH24" si="138">SUM(CG18:CG23)</f>
        <v>128760457</v>
      </c>
      <c r="CH24" s="21">
        <f t="shared" si="138"/>
        <v>129635058</v>
      </c>
      <c r="CI24" s="21">
        <f t="shared" ref="CI24:CJ24" si="139">SUM(CI18:CI23)</f>
        <v>132504748</v>
      </c>
      <c r="CJ24" s="21">
        <f t="shared" si="139"/>
        <v>134345180</v>
      </c>
      <c r="CK24" s="21">
        <f t="shared" ref="CK24:CL24" si="140">SUM(CK18:CK23)</f>
        <v>137302594</v>
      </c>
      <c r="CL24" s="21">
        <f t="shared" si="140"/>
        <v>140411858</v>
      </c>
      <c r="CM24" s="21">
        <f t="shared" ref="CM24" si="141">SUM(CM18:CM23)</f>
        <v>142784756</v>
      </c>
      <c r="CN24" s="21">
        <f t="shared" ref="CN24:CT24" si="142">SUM(CN18:CN23)</f>
        <v>144497994</v>
      </c>
      <c r="CO24" s="21">
        <f t="shared" si="142"/>
        <v>145518458</v>
      </c>
      <c r="CP24" s="21">
        <f t="shared" si="142"/>
        <v>146900599</v>
      </c>
      <c r="CQ24" s="21">
        <f t="shared" si="142"/>
        <v>147734910</v>
      </c>
      <c r="CR24" s="21">
        <f t="shared" si="142"/>
        <v>148773935</v>
      </c>
      <c r="CS24" s="21">
        <f t="shared" si="142"/>
        <v>150523886</v>
      </c>
      <c r="CT24" s="21">
        <f t="shared" si="142"/>
        <v>151501205</v>
      </c>
      <c r="CU24" s="21">
        <f t="shared" ref="CU24:CV24" si="143">SUM(CU18:CU23)</f>
        <v>152957017</v>
      </c>
      <c r="CV24" s="21">
        <f t="shared" si="143"/>
        <v>154093452</v>
      </c>
      <c r="CW24" s="21">
        <f t="shared" ref="CW24:CX24" si="144">SUM(CW18:CW23)</f>
        <v>155776300</v>
      </c>
      <c r="CX24" s="21">
        <f t="shared" si="144"/>
        <v>158839108</v>
      </c>
      <c r="CY24" s="21">
        <f t="shared" ref="CY24:CZ24" si="145">SUM(CY18:CY23)</f>
        <v>161722004</v>
      </c>
      <c r="CZ24" s="21">
        <f t="shared" si="145"/>
        <v>163827662</v>
      </c>
      <c r="DA24" s="21">
        <f t="shared" ref="DA24:DB24" si="146">SUM(DA18:DA23)</f>
        <v>166370030</v>
      </c>
      <c r="DB24" s="21">
        <f t="shared" si="146"/>
        <v>169813703</v>
      </c>
      <c r="DC24" s="21">
        <f t="shared" ref="DC24:DD24" si="147">SUM(DC18:DC23)</f>
        <v>171196089</v>
      </c>
      <c r="DD24" s="21">
        <f t="shared" si="147"/>
        <v>173244838</v>
      </c>
      <c r="DE24" s="21">
        <f t="shared" ref="DE24:DF24" si="148">SUM(DE18:DE23)</f>
        <v>175855046</v>
      </c>
      <c r="DF24" s="21">
        <f t="shared" si="148"/>
        <v>178103086</v>
      </c>
      <c r="DG24" s="21">
        <f t="shared" ref="DG24:DH24" si="149">SUM(DG18:DG23)</f>
        <v>179875304</v>
      </c>
      <c r="DH24" s="21">
        <f t="shared" si="149"/>
        <v>182207427</v>
      </c>
      <c r="DI24" s="21">
        <f t="shared" ref="DI24:DJ24" si="150">SUM(DI18:DI23)</f>
        <v>184658083</v>
      </c>
      <c r="DJ24" s="21">
        <f t="shared" si="150"/>
        <v>188182267</v>
      </c>
      <c r="DK24" s="21">
        <f t="shared" ref="DK24" si="151">SUM(DK18:DK23)</f>
        <v>190468873</v>
      </c>
      <c r="DM24" s="18"/>
      <c r="DN24" s="18"/>
      <c r="DO24" s="18"/>
      <c r="DP24" s="18"/>
      <c r="DQ24" s="18"/>
      <c r="DR24" s="18"/>
      <c r="DS24" s="18"/>
      <c r="DT24" s="18"/>
      <c r="DU24" s="18"/>
    </row>
    <row r="25" spans="1:126" s="2" customFormat="1" ht="30" x14ac:dyDescent="0.25">
      <c r="A25" s="13" t="s">
        <v>16</v>
      </c>
      <c r="B25" s="14">
        <v>42430</v>
      </c>
      <c r="C25" s="14">
        <v>42461</v>
      </c>
      <c r="D25" s="14">
        <v>42491</v>
      </c>
      <c r="E25" s="14">
        <v>42522</v>
      </c>
      <c r="F25" s="14">
        <v>42552</v>
      </c>
      <c r="G25" s="14">
        <v>42583</v>
      </c>
      <c r="H25" s="14">
        <v>42614</v>
      </c>
      <c r="I25" s="14">
        <v>42644</v>
      </c>
      <c r="J25" s="14">
        <v>42675</v>
      </c>
      <c r="K25" s="14">
        <v>42705</v>
      </c>
      <c r="L25" s="14">
        <v>42736</v>
      </c>
      <c r="M25" s="14">
        <v>42767</v>
      </c>
      <c r="N25" s="14">
        <v>42795</v>
      </c>
      <c r="O25" s="14">
        <v>42826</v>
      </c>
      <c r="P25" s="14">
        <v>42856</v>
      </c>
      <c r="Q25" s="14">
        <v>42887</v>
      </c>
      <c r="R25" s="14">
        <v>42917</v>
      </c>
      <c r="S25" s="14">
        <v>42948</v>
      </c>
      <c r="T25" s="14">
        <v>42979</v>
      </c>
      <c r="U25" s="14">
        <v>43009</v>
      </c>
      <c r="V25" s="14">
        <v>43040</v>
      </c>
      <c r="W25" s="14">
        <v>43070</v>
      </c>
      <c r="X25" s="14">
        <v>43101</v>
      </c>
      <c r="Y25" s="14">
        <v>43132</v>
      </c>
      <c r="Z25" s="14">
        <v>43160</v>
      </c>
      <c r="AA25" s="14">
        <v>43191</v>
      </c>
      <c r="AB25" s="14">
        <v>43221</v>
      </c>
      <c r="AC25" s="14">
        <v>43696</v>
      </c>
      <c r="AD25" s="14">
        <v>43727</v>
      </c>
      <c r="AE25" s="17">
        <v>43739</v>
      </c>
      <c r="AF25" s="17">
        <v>43770</v>
      </c>
      <c r="AG25" s="17">
        <v>43800</v>
      </c>
      <c r="AH25" s="17">
        <v>43850</v>
      </c>
      <c r="AI25" s="17">
        <v>43881</v>
      </c>
      <c r="AJ25" s="17">
        <v>43910</v>
      </c>
      <c r="AK25" s="17">
        <v>43941</v>
      </c>
      <c r="AL25" s="17">
        <v>43971</v>
      </c>
      <c r="AM25" s="17">
        <v>44002</v>
      </c>
      <c r="AN25" s="17">
        <v>44032</v>
      </c>
      <c r="AO25" s="17">
        <v>44063</v>
      </c>
      <c r="AP25" s="17">
        <v>44095</v>
      </c>
      <c r="AQ25" s="17">
        <v>44125</v>
      </c>
      <c r="AR25" s="17">
        <v>44156</v>
      </c>
      <c r="AS25" s="17">
        <v>44186</v>
      </c>
      <c r="AT25" s="17">
        <v>44197</v>
      </c>
      <c r="AU25" s="17">
        <v>44229</v>
      </c>
      <c r="AV25" s="17">
        <v>44276</v>
      </c>
      <c r="AW25" s="17">
        <v>44307</v>
      </c>
      <c r="AX25" s="17">
        <v>44337</v>
      </c>
      <c r="AY25" s="17">
        <v>44368</v>
      </c>
      <c r="AZ25" s="17">
        <v>44398</v>
      </c>
      <c r="BA25" s="17">
        <v>44429</v>
      </c>
      <c r="BB25" s="17">
        <v>44460</v>
      </c>
      <c r="BC25" s="17">
        <v>44490</v>
      </c>
      <c r="BD25" s="17">
        <v>44521</v>
      </c>
      <c r="BE25" s="17">
        <v>44551</v>
      </c>
      <c r="BF25" s="17">
        <v>44583</v>
      </c>
      <c r="BG25" s="17">
        <v>44614</v>
      </c>
      <c r="BH25" s="17">
        <v>44642</v>
      </c>
      <c r="BI25" s="17">
        <v>44673</v>
      </c>
      <c r="BJ25" s="17">
        <v>44703</v>
      </c>
      <c r="BK25" s="17">
        <v>44734</v>
      </c>
      <c r="BL25" s="17">
        <v>44764</v>
      </c>
      <c r="BM25" s="17">
        <v>44795</v>
      </c>
      <c r="BN25" s="17">
        <v>44826</v>
      </c>
      <c r="BO25" s="17">
        <v>44856</v>
      </c>
      <c r="BP25" s="17">
        <v>44887</v>
      </c>
      <c r="BQ25" s="17">
        <v>44917</v>
      </c>
      <c r="BR25" s="17">
        <v>44948</v>
      </c>
      <c r="BS25" s="14">
        <v>44980</v>
      </c>
      <c r="BT25" s="14">
        <v>45008</v>
      </c>
      <c r="BU25" s="14">
        <v>45039</v>
      </c>
      <c r="BV25" s="14">
        <v>45069</v>
      </c>
      <c r="BW25" s="17">
        <v>45100</v>
      </c>
      <c r="BX25" s="14">
        <v>45130</v>
      </c>
      <c r="BY25" s="14">
        <v>45161</v>
      </c>
      <c r="BZ25" s="14">
        <v>45192</v>
      </c>
      <c r="CA25" s="14">
        <v>45222</v>
      </c>
      <c r="CB25" s="14">
        <v>45253</v>
      </c>
      <c r="CC25" s="14">
        <v>45283</v>
      </c>
      <c r="CD25" s="14">
        <v>45315</v>
      </c>
      <c r="CE25" s="14">
        <v>45346</v>
      </c>
      <c r="CF25" s="14">
        <v>45375</v>
      </c>
      <c r="CG25" s="14">
        <v>45406</v>
      </c>
      <c r="CH25" s="14">
        <v>45436</v>
      </c>
      <c r="CI25" s="14">
        <v>45467</v>
      </c>
      <c r="CJ25" s="14">
        <v>45497</v>
      </c>
      <c r="CK25" s="14">
        <v>45528</v>
      </c>
      <c r="CL25" s="14">
        <v>45559</v>
      </c>
      <c r="CM25" s="14">
        <v>45589</v>
      </c>
      <c r="CN25" s="14">
        <v>45621</v>
      </c>
      <c r="CO25" s="14">
        <v>45652</v>
      </c>
      <c r="CP25" s="14">
        <v>45684</v>
      </c>
      <c r="CQ25" s="14">
        <v>45716</v>
      </c>
      <c r="CR25" s="14">
        <v>45717</v>
      </c>
      <c r="CS25" s="14">
        <v>45749</v>
      </c>
      <c r="CT25" s="14">
        <v>45780</v>
      </c>
      <c r="CU25" s="14">
        <v>45812</v>
      </c>
      <c r="CV25" s="14">
        <v>45843</v>
      </c>
      <c r="CW25" s="14">
        <v>45875</v>
      </c>
      <c r="CX25" s="14">
        <v>45907</v>
      </c>
      <c r="CY25" s="14">
        <v>45938</v>
      </c>
      <c r="CZ25" s="14">
        <v>45970</v>
      </c>
      <c r="DA25" s="14">
        <v>46001</v>
      </c>
      <c r="DB25" s="14">
        <v>46033</v>
      </c>
      <c r="DC25" s="14">
        <v>46065</v>
      </c>
      <c r="DD25" s="14">
        <v>46094</v>
      </c>
      <c r="DE25" s="14">
        <v>46126</v>
      </c>
      <c r="DF25" s="14">
        <v>46157</v>
      </c>
      <c r="DG25" s="14">
        <v>46189</v>
      </c>
      <c r="DH25" s="14">
        <v>46220</v>
      </c>
      <c r="DI25" s="14">
        <v>46252</v>
      </c>
      <c r="DJ25" s="14">
        <v>46284</v>
      </c>
      <c r="DK25" s="14">
        <v>46296</v>
      </c>
    </row>
    <row r="26" spans="1:126" x14ac:dyDescent="0.25">
      <c r="A26" s="1" t="s">
        <v>5</v>
      </c>
      <c r="B26" s="11">
        <f t="shared" ref="B26:K26" si="152">B2*$DL2</f>
        <v>247000</v>
      </c>
      <c r="C26" s="11">
        <f t="shared" si="152"/>
        <v>314600</v>
      </c>
      <c r="D26" s="11">
        <f t="shared" si="152"/>
        <v>374400</v>
      </c>
      <c r="E26" s="11">
        <f t="shared" si="152"/>
        <v>132600</v>
      </c>
      <c r="F26" s="11">
        <f t="shared" si="152"/>
        <v>200200</v>
      </c>
      <c r="G26" s="11">
        <f t="shared" si="152"/>
        <v>668200</v>
      </c>
      <c r="H26" s="11">
        <f t="shared" si="152"/>
        <v>309400</v>
      </c>
      <c r="I26" s="11">
        <f t="shared" si="152"/>
        <v>148200</v>
      </c>
      <c r="J26" s="11">
        <f t="shared" si="152"/>
        <v>990600</v>
      </c>
      <c r="K26" s="11">
        <f t="shared" si="152"/>
        <v>1242800</v>
      </c>
      <c r="L26" s="11">
        <f t="shared" ref="L26:W26" si="153">L2*$DM2</f>
        <v>966600</v>
      </c>
      <c r="M26" s="11">
        <f t="shared" si="153"/>
        <v>1204200</v>
      </c>
      <c r="N26" s="11">
        <f t="shared" si="153"/>
        <v>353700</v>
      </c>
      <c r="O26" s="11">
        <f t="shared" si="153"/>
        <v>1171800</v>
      </c>
      <c r="P26" s="11">
        <f t="shared" si="153"/>
        <v>186300</v>
      </c>
      <c r="Q26" s="11">
        <f t="shared" si="153"/>
        <v>186300</v>
      </c>
      <c r="R26" s="11">
        <f t="shared" si="153"/>
        <v>121500</v>
      </c>
      <c r="S26" s="11">
        <f t="shared" si="153"/>
        <v>513000</v>
      </c>
      <c r="T26" s="11">
        <f t="shared" si="153"/>
        <v>626400</v>
      </c>
      <c r="U26" s="11">
        <f t="shared" si="153"/>
        <v>575100</v>
      </c>
      <c r="V26" s="11">
        <f t="shared" si="153"/>
        <v>596700</v>
      </c>
      <c r="W26" s="11">
        <f t="shared" si="153"/>
        <v>453600</v>
      </c>
      <c r="X26" s="11">
        <f t="shared" ref="X26:AB31" si="154">X2*$DN2</f>
        <v>47828</v>
      </c>
      <c r="Y26" s="11">
        <f t="shared" si="154"/>
        <v>292403</v>
      </c>
      <c r="Z26" s="11">
        <f t="shared" si="154"/>
        <v>428278</v>
      </c>
      <c r="AA26" s="11">
        <f t="shared" si="154"/>
        <v>428278</v>
      </c>
      <c r="AB26" s="11">
        <f t="shared" si="154"/>
        <v>348927</v>
      </c>
      <c r="AC26" s="11">
        <f t="shared" ref="AC26:AG31" si="155">AC2*$DO2</f>
        <v>399988</v>
      </c>
      <c r="AD26" s="11">
        <f t="shared" si="155"/>
        <v>289188</v>
      </c>
      <c r="AE26" s="11">
        <f t="shared" si="155"/>
        <v>467576</v>
      </c>
      <c r="AF26" s="11">
        <f t="shared" si="155"/>
        <v>115232</v>
      </c>
      <c r="AG26" s="11">
        <f t="shared" si="155"/>
        <v>206088</v>
      </c>
      <c r="AH26" s="11">
        <f t="shared" ref="AH26:AS26" si="156">AH2*$DP2</f>
        <v>49720</v>
      </c>
      <c r="AI26" s="11">
        <f t="shared" si="156"/>
        <v>465560</v>
      </c>
      <c r="AJ26" s="11">
        <f t="shared" si="156"/>
        <v>127690</v>
      </c>
      <c r="AK26" s="11">
        <f t="shared" si="156"/>
        <v>1130</v>
      </c>
      <c r="AL26" s="11">
        <f t="shared" si="156"/>
        <v>189840</v>
      </c>
      <c r="AM26" s="11">
        <f t="shared" si="156"/>
        <v>381940</v>
      </c>
      <c r="AN26" s="11">
        <f t="shared" si="156"/>
        <v>21470</v>
      </c>
      <c r="AO26" s="11">
        <f t="shared" si="156"/>
        <v>2260</v>
      </c>
      <c r="AP26" s="11">
        <f t="shared" si="156"/>
        <v>47460</v>
      </c>
      <c r="AQ26" s="11">
        <f t="shared" si="156"/>
        <v>170630</v>
      </c>
      <c r="AR26" s="11">
        <f t="shared" si="156"/>
        <v>126560</v>
      </c>
      <c r="AS26" s="11">
        <f t="shared" si="156"/>
        <v>77970</v>
      </c>
      <c r="AT26" s="11">
        <f t="shared" ref="AT26:BB26" si="157">AT2*$DQ2</f>
        <v>111840</v>
      </c>
      <c r="AU26" s="11">
        <f t="shared" si="157"/>
        <v>252805</v>
      </c>
      <c r="AV26" s="11">
        <f t="shared" si="157"/>
        <v>17475</v>
      </c>
      <c r="AW26" s="11">
        <f t="shared" si="157"/>
        <v>16310</v>
      </c>
      <c r="AX26" s="11">
        <f t="shared" si="157"/>
        <v>0</v>
      </c>
      <c r="AY26" s="11">
        <f t="shared" si="157"/>
        <v>29125</v>
      </c>
      <c r="AZ26" s="11">
        <f t="shared" si="157"/>
        <v>25630</v>
      </c>
      <c r="BA26" s="11">
        <f t="shared" si="157"/>
        <v>31455</v>
      </c>
      <c r="BB26" s="11">
        <f t="shared" si="157"/>
        <v>64075</v>
      </c>
      <c r="BC26" s="11">
        <f t="shared" ref="BC26:BN26" si="158">BC2*$DR2</f>
        <v>54556</v>
      </c>
      <c r="BD26" s="11">
        <f t="shared" si="158"/>
        <v>58114</v>
      </c>
      <c r="BE26" s="11">
        <f t="shared" si="158"/>
        <v>42696</v>
      </c>
      <c r="BF26" s="11">
        <f t="shared" si="158"/>
        <v>136390</v>
      </c>
      <c r="BG26" s="11">
        <f t="shared" si="158"/>
        <v>5930</v>
      </c>
      <c r="BH26" s="11">
        <f t="shared" si="158"/>
        <v>3558</v>
      </c>
      <c r="BI26" s="11">
        <f t="shared" si="158"/>
        <v>10674</v>
      </c>
      <c r="BJ26" s="11">
        <f t="shared" si="158"/>
        <v>1186</v>
      </c>
      <c r="BK26" s="11">
        <f t="shared" si="158"/>
        <v>2372</v>
      </c>
      <c r="BL26" s="11">
        <f t="shared" si="158"/>
        <v>58114</v>
      </c>
      <c r="BM26" s="11">
        <f t="shared" si="158"/>
        <v>120972</v>
      </c>
      <c r="BN26" s="11">
        <f t="shared" si="158"/>
        <v>340382</v>
      </c>
      <c r="BO26" s="11">
        <f t="shared" ref="BO26:BZ26" si="159">BO2*$DS2</f>
        <v>823200</v>
      </c>
      <c r="BP26" s="11">
        <f t="shared" si="159"/>
        <v>830400</v>
      </c>
      <c r="BQ26" s="11">
        <f t="shared" si="159"/>
        <v>726000</v>
      </c>
      <c r="BR26" s="11">
        <f t="shared" si="159"/>
        <v>1096800</v>
      </c>
      <c r="BS26" s="11">
        <f t="shared" si="159"/>
        <v>505200</v>
      </c>
      <c r="BT26" s="11">
        <f t="shared" si="159"/>
        <v>680400</v>
      </c>
      <c r="BU26" s="11">
        <f t="shared" si="159"/>
        <v>897600</v>
      </c>
      <c r="BV26" s="11">
        <f t="shared" si="159"/>
        <v>1231200</v>
      </c>
      <c r="BW26" s="11">
        <f t="shared" si="159"/>
        <v>3600</v>
      </c>
      <c r="BX26" s="11">
        <f t="shared" si="159"/>
        <v>39600</v>
      </c>
      <c r="BY26" s="11">
        <f t="shared" si="159"/>
        <v>10800</v>
      </c>
      <c r="BZ26" s="11">
        <f t="shared" si="159"/>
        <v>32400</v>
      </c>
      <c r="CA26" s="11">
        <f t="shared" ref="CA26:CL26" si="160">CA2*$DT2</f>
        <v>0</v>
      </c>
      <c r="CB26" s="11">
        <f t="shared" si="160"/>
        <v>0</v>
      </c>
      <c r="CC26" s="11">
        <f t="shared" si="160"/>
        <v>20128</v>
      </c>
      <c r="CD26" s="11">
        <f t="shared" si="160"/>
        <v>35224</v>
      </c>
      <c r="CE26" s="11">
        <f t="shared" si="160"/>
        <v>5032</v>
      </c>
      <c r="CF26" s="11">
        <f t="shared" si="160"/>
        <v>5032</v>
      </c>
      <c r="CG26" s="11">
        <f t="shared" si="160"/>
        <v>2516</v>
      </c>
      <c r="CH26" s="11">
        <f t="shared" si="160"/>
        <v>266696</v>
      </c>
      <c r="CI26" s="11">
        <f t="shared" si="160"/>
        <v>642838</v>
      </c>
      <c r="CJ26" s="11">
        <f t="shared" si="160"/>
        <v>586228</v>
      </c>
      <c r="CK26" s="11">
        <f t="shared" si="160"/>
        <v>602582</v>
      </c>
      <c r="CL26" s="11">
        <f t="shared" si="160"/>
        <v>997594</v>
      </c>
      <c r="CM26" s="11">
        <f t="shared" ref="CM26:DG26" si="161">CM2*$DU2</f>
        <v>965874</v>
      </c>
      <c r="CN26" s="11">
        <f t="shared" si="161"/>
        <v>456036</v>
      </c>
      <c r="CO26" s="11">
        <f t="shared" si="161"/>
        <v>284382</v>
      </c>
      <c r="CP26" s="11">
        <f t="shared" si="161"/>
        <v>313845</v>
      </c>
      <c r="CQ26" s="11">
        <f t="shared" si="161"/>
        <v>352275</v>
      </c>
      <c r="CR26" s="11">
        <f t="shared" si="161"/>
        <v>342027</v>
      </c>
      <c r="CS26" s="11">
        <f t="shared" si="161"/>
        <v>518805</v>
      </c>
      <c r="CT26" s="11">
        <f t="shared" si="161"/>
        <v>293349</v>
      </c>
      <c r="CU26" s="11">
        <f t="shared" si="161"/>
        <v>348432</v>
      </c>
      <c r="CV26" s="11">
        <f t="shared" si="161"/>
        <v>283101</v>
      </c>
      <c r="CW26" s="11">
        <f t="shared" si="161"/>
        <v>327936</v>
      </c>
      <c r="CX26" s="11">
        <f t="shared" si="161"/>
        <v>463722</v>
      </c>
      <c r="CY26" s="11">
        <f t="shared" si="161"/>
        <v>394548</v>
      </c>
      <c r="CZ26" s="11">
        <f t="shared" si="161"/>
        <v>210084</v>
      </c>
      <c r="DA26" s="11">
        <f t="shared" si="161"/>
        <v>40992</v>
      </c>
      <c r="DB26" s="11">
        <f t="shared" si="161"/>
        <v>590541</v>
      </c>
      <c r="DC26" s="11">
        <f t="shared" si="161"/>
        <v>222894</v>
      </c>
      <c r="DD26" s="11">
        <f t="shared" si="161"/>
        <v>185745</v>
      </c>
      <c r="DE26" s="11">
        <f t="shared" si="161"/>
        <v>571326</v>
      </c>
      <c r="DF26" s="11">
        <f t="shared" si="161"/>
        <v>417606</v>
      </c>
      <c r="DG26" s="11">
        <f t="shared" si="161"/>
        <v>358680</v>
      </c>
      <c r="DH26" s="11">
        <f t="shared" ref="DH26:DI26" si="162">DH2*$DU2</f>
        <v>605913</v>
      </c>
      <c r="DI26" s="11">
        <f t="shared" si="162"/>
        <v>607194</v>
      </c>
      <c r="DJ26" s="11">
        <f t="shared" ref="DJ26:DK26" si="163">DJ2*$DU2</f>
        <v>299754</v>
      </c>
      <c r="DK26" s="11">
        <f t="shared" si="163"/>
        <v>371490</v>
      </c>
    </row>
    <row r="27" spans="1:126" x14ac:dyDescent="0.25">
      <c r="A27" s="1" t="s">
        <v>6</v>
      </c>
      <c r="B27" s="11">
        <f t="shared" ref="B27:K27" si="164">B3*$DL3</f>
        <v>192200</v>
      </c>
      <c r="C27" s="11">
        <f t="shared" si="164"/>
        <v>446400</v>
      </c>
      <c r="D27" s="11">
        <f t="shared" si="164"/>
        <v>2064600</v>
      </c>
      <c r="E27" s="11">
        <f t="shared" si="164"/>
        <v>322400</v>
      </c>
      <c r="F27" s="11">
        <f t="shared" si="164"/>
        <v>675800</v>
      </c>
      <c r="G27" s="11">
        <f t="shared" si="164"/>
        <v>967200</v>
      </c>
      <c r="H27" s="11">
        <f t="shared" si="164"/>
        <v>737800</v>
      </c>
      <c r="I27" s="11">
        <f t="shared" si="164"/>
        <v>372000</v>
      </c>
      <c r="J27" s="11">
        <f t="shared" si="164"/>
        <v>601400</v>
      </c>
      <c r="K27" s="11">
        <f t="shared" si="164"/>
        <v>2269200</v>
      </c>
      <c r="L27" s="11">
        <f t="shared" ref="L27:W27" si="165">L3*$DM3</f>
        <v>793800</v>
      </c>
      <c r="M27" s="11">
        <f t="shared" si="165"/>
        <v>1474200</v>
      </c>
      <c r="N27" s="11">
        <f t="shared" si="165"/>
        <v>346500</v>
      </c>
      <c r="O27" s="11">
        <f t="shared" si="165"/>
        <v>384300</v>
      </c>
      <c r="P27" s="11">
        <f t="shared" si="165"/>
        <v>522900</v>
      </c>
      <c r="Q27" s="11">
        <f t="shared" si="165"/>
        <v>170100</v>
      </c>
      <c r="R27" s="11">
        <f t="shared" si="165"/>
        <v>459900</v>
      </c>
      <c r="S27" s="11">
        <f t="shared" si="165"/>
        <v>2608200</v>
      </c>
      <c r="T27" s="11">
        <f t="shared" si="165"/>
        <v>3792600</v>
      </c>
      <c r="U27" s="11">
        <f t="shared" si="165"/>
        <v>2853900</v>
      </c>
      <c r="V27" s="11">
        <f t="shared" si="165"/>
        <v>1033200</v>
      </c>
      <c r="W27" s="11">
        <f t="shared" si="165"/>
        <v>945000</v>
      </c>
      <c r="X27" s="11">
        <f t="shared" si="154"/>
        <v>929376</v>
      </c>
      <c r="Y27" s="11">
        <f t="shared" si="154"/>
        <v>1427256</v>
      </c>
      <c r="Z27" s="11">
        <f t="shared" si="154"/>
        <v>3794952</v>
      </c>
      <c r="AA27" s="11">
        <f t="shared" si="154"/>
        <v>3794952</v>
      </c>
      <c r="AB27" s="11">
        <f t="shared" si="154"/>
        <v>663840</v>
      </c>
      <c r="AC27" s="11">
        <f t="shared" si="155"/>
        <v>2104466</v>
      </c>
      <c r="AD27" s="11">
        <f t="shared" si="155"/>
        <v>1828008</v>
      </c>
      <c r="AE27" s="11">
        <f t="shared" si="155"/>
        <v>2127034</v>
      </c>
      <c r="AF27" s="11">
        <f t="shared" si="155"/>
        <v>1393574</v>
      </c>
      <c r="AG27" s="11">
        <f t="shared" si="155"/>
        <v>1196104</v>
      </c>
      <c r="AH27" s="11">
        <f t="shared" ref="AH27:AS27" si="166">AH3*$DP3</f>
        <v>414288</v>
      </c>
      <c r="AI27" s="11">
        <f t="shared" si="166"/>
        <v>2704380</v>
      </c>
      <c r="AJ27" s="11">
        <f t="shared" si="166"/>
        <v>1271634</v>
      </c>
      <c r="AK27" s="11">
        <f t="shared" si="166"/>
        <v>63294</v>
      </c>
      <c r="AL27" s="11">
        <f t="shared" si="166"/>
        <v>425796</v>
      </c>
      <c r="AM27" s="11">
        <f t="shared" si="166"/>
        <v>51786</v>
      </c>
      <c r="AN27" s="11">
        <f t="shared" si="166"/>
        <v>138096</v>
      </c>
      <c r="AO27" s="11">
        <f t="shared" si="166"/>
        <v>2157750</v>
      </c>
      <c r="AP27" s="11">
        <f t="shared" si="166"/>
        <v>5754</v>
      </c>
      <c r="AQ27" s="11">
        <f t="shared" si="166"/>
        <v>247422</v>
      </c>
      <c r="AR27" s="11">
        <f t="shared" si="166"/>
        <v>69048</v>
      </c>
      <c r="AS27" s="11">
        <f t="shared" si="166"/>
        <v>97818</v>
      </c>
      <c r="AT27" s="11">
        <f t="shared" ref="AT27:BB27" si="167">AT3*$DQ3</f>
        <v>100776</v>
      </c>
      <c r="AU27" s="11">
        <f t="shared" si="167"/>
        <v>225264</v>
      </c>
      <c r="AV27" s="11">
        <f t="shared" si="167"/>
        <v>148200</v>
      </c>
      <c r="AW27" s="11">
        <f t="shared" si="167"/>
        <v>486096</v>
      </c>
      <c r="AX27" s="11">
        <f t="shared" si="167"/>
        <v>462384</v>
      </c>
      <c r="AY27" s="11">
        <f t="shared" si="167"/>
        <v>586872</v>
      </c>
      <c r="AZ27" s="11">
        <f t="shared" si="167"/>
        <v>521664</v>
      </c>
      <c r="BA27" s="11">
        <f t="shared" si="167"/>
        <v>474240</v>
      </c>
      <c r="BB27" s="11">
        <f t="shared" si="167"/>
        <v>545376</v>
      </c>
      <c r="BC27" s="11">
        <f t="shared" ref="BC27:BN27" si="168">BC3*$DR3</f>
        <v>603500</v>
      </c>
      <c r="BD27" s="11">
        <f t="shared" si="168"/>
        <v>1327700</v>
      </c>
      <c r="BE27" s="11">
        <f t="shared" si="168"/>
        <v>784550</v>
      </c>
      <c r="BF27" s="11">
        <f t="shared" si="168"/>
        <v>350030</v>
      </c>
      <c r="BG27" s="11">
        <f t="shared" si="168"/>
        <v>887145</v>
      </c>
      <c r="BH27" s="11">
        <f t="shared" si="168"/>
        <v>506940</v>
      </c>
      <c r="BI27" s="11">
        <f t="shared" si="168"/>
        <v>531080</v>
      </c>
      <c r="BJ27" s="11">
        <f t="shared" si="168"/>
        <v>301750</v>
      </c>
      <c r="BK27" s="11">
        <f t="shared" si="168"/>
        <v>422450</v>
      </c>
      <c r="BL27" s="11">
        <f t="shared" si="168"/>
        <v>2299335</v>
      </c>
      <c r="BM27" s="11">
        <f t="shared" si="168"/>
        <v>3005430</v>
      </c>
      <c r="BN27" s="11">
        <f t="shared" si="168"/>
        <v>953530</v>
      </c>
      <c r="BO27" s="11">
        <f t="shared" ref="BO27:BZ27" si="169">BO3*$DS3</f>
        <v>1679425</v>
      </c>
      <c r="BP27" s="11">
        <f t="shared" si="169"/>
        <v>635128</v>
      </c>
      <c r="BQ27" s="11">
        <f t="shared" si="169"/>
        <v>6107</v>
      </c>
      <c r="BR27" s="11">
        <f t="shared" si="169"/>
        <v>12214</v>
      </c>
      <c r="BS27" s="11">
        <f t="shared" si="169"/>
        <v>73284</v>
      </c>
      <c r="BT27" s="11">
        <f t="shared" si="169"/>
        <v>24428</v>
      </c>
      <c r="BU27" s="11">
        <f t="shared" si="169"/>
        <v>1032083</v>
      </c>
      <c r="BV27" s="11">
        <f t="shared" si="169"/>
        <v>225959</v>
      </c>
      <c r="BW27" s="11">
        <f t="shared" si="169"/>
        <v>73284</v>
      </c>
      <c r="BX27" s="11">
        <f t="shared" si="169"/>
        <v>219852</v>
      </c>
      <c r="BY27" s="11">
        <f t="shared" si="169"/>
        <v>665663</v>
      </c>
      <c r="BZ27" s="11">
        <f t="shared" si="169"/>
        <v>305350</v>
      </c>
      <c r="CA27" s="11">
        <f t="shared" ref="CA27:CL27" si="170">CA3*$DT3</f>
        <v>115182</v>
      </c>
      <c r="CB27" s="11">
        <f t="shared" si="170"/>
        <v>0</v>
      </c>
      <c r="CC27" s="11">
        <f t="shared" si="170"/>
        <v>428733</v>
      </c>
      <c r="CD27" s="11">
        <f t="shared" si="170"/>
        <v>607905</v>
      </c>
      <c r="CE27" s="11">
        <f t="shared" si="170"/>
        <v>2086074</v>
      </c>
      <c r="CF27" s="11">
        <f t="shared" si="170"/>
        <v>761481</v>
      </c>
      <c r="CG27" s="11">
        <f t="shared" si="170"/>
        <v>185571</v>
      </c>
      <c r="CH27" s="11">
        <f t="shared" si="170"/>
        <v>607905</v>
      </c>
      <c r="CI27" s="11">
        <f t="shared" si="170"/>
        <v>2226852</v>
      </c>
      <c r="CJ27" s="11">
        <f t="shared" si="170"/>
        <v>1254204</v>
      </c>
      <c r="CK27" s="11">
        <f t="shared" si="170"/>
        <v>2354832</v>
      </c>
      <c r="CL27" s="11">
        <f t="shared" si="170"/>
        <v>2111670</v>
      </c>
      <c r="CM27" s="11">
        <f t="shared" ref="CM27:DG27" si="171">CM3*$DU3</f>
        <v>1407024</v>
      </c>
      <c r="CN27" s="11">
        <f t="shared" si="171"/>
        <v>1257202</v>
      </c>
      <c r="CO27" s="11">
        <f t="shared" si="171"/>
        <v>736082</v>
      </c>
      <c r="CP27" s="11">
        <f t="shared" si="171"/>
        <v>1068296</v>
      </c>
      <c r="CQ27" s="11">
        <f t="shared" si="171"/>
        <v>482036</v>
      </c>
      <c r="CR27" s="11">
        <f t="shared" si="171"/>
        <v>696998</v>
      </c>
      <c r="CS27" s="11">
        <f t="shared" si="171"/>
        <v>1231146</v>
      </c>
      <c r="CT27" s="11">
        <f t="shared" si="171"/>
        <v>683970</v>
      </c>
      <c r="CU27" s="11">
        <f t="shared" si="171"/>
        <v>1107380</v>
      </c>
      <c r="CV27" s="11">
        <f t="shared" si="171"/>
        <v>853334</v>
      </c>
      <c r="CW27" s="11">
        <f t="shared" si="171"/>
        <v>1354912</v>
      </c>
      <c r="CX27" s="11">
        <f t="shared" si="171"/>
        <v>2599086</v>
      </c>
      <c r="CY27" s="11">
        <f t="shared" si="171"/>
        <v>2488348</v>
      </c>
      <c r="CZ27" s="11">
        <f t="shared" si="171"/>
        <v>1895574</v>
      </c>
      <c r="DA27" s="11">
        <f t="shared" si="171"/>
        <v>2501376</v>
      </c>
      <c r="DB27" s="11">
        <f t="shared" si="171"/>
        <v>2853132</v>
      </c>
      <c r="DC27" s="11">
        <f t="shared" si="171"/>
        <v>1159492</v>
      </c>
      <c r="DD27" s="11">
        <f t="shared" si="171"/>
        <v>1863004</v>
      </c>
      <c r="DE27" s="11">
        <f t="shared" si="171"/>
        <v>2038882</v>
      </c>
      <c r="DF27" s="11">
        <f t="shared" si="171"/>
        <v>1830434</v>
      </c>
      <c r="DG27" s="11">
        <f t="shared" si="171"/>
        <v>1413538</v>
      </c>
      <c r="DH27" s="11">
        <f t="shared" ref="DH27:DI27" si="172">DH3*$DU3</f>
        <v>1726210</v>
      </c>
      <c r="DI27" s="11">
        <f t="shared" si="172"/>
        <v>1843462</v>
      </c>
      <c r="DJ27" s="11">
        <f t="shared" ref="DJ27:DK27" si="173">DJ3*$DU3</f>
        <v>3224430</v>
      </c>
      <c r="DK27" s="11">
        <f t="shared" si="173"/>
        <v>1915116</v>
      </c>
    </row>
    <row r="28" spans="1:126" x14ac:dyDescent="0.25">
      <c r="A28" s="1" t="s">
        <v>7</v>
      </c>
      <c r="B28" s="11">
        <f t="shared" ref="B28:K28" si="174">B4*$DL4</f>
        <v>194400</v>
      </c>
      <c r="C28" s="11">
        <f t="shared" si="174"/>
        <v>259200</v>
      </c>
      <c r="D28" s="11">
        <f t="shared" si="174"/>
        <v>550800</v>
      </c>
      <c r="E28" s="11">
        <f t="shared" si="174"/>
        <v>129600</v>
      </c>
      <c r="F28" s="11">
        <f t="shared" si="174"/>
        <v>340200</v>
      </c>
      <c r="G28" s="11">
        <f t="shared" si="174"/>
        <v>437400</v>
      </c>
      <c r="H28" s="11">
        <f t="shared" si="174"/>
        <v>453600</v>
      </c>
      <c r="I28" s="11">
        <f t="shared" si="174"/>
        <v>534600</v>
      </c>
      <c r="J28" s="11">
        <f t="shared" si="174"/>
        <v>599400</v>
      </c>
      <c r="K28" s="11">
        <f t="shared" si="174"/>
        <v>729000</v>
      </c>
      <c r="L28" s="11">
        <f t="shared" ref="L28:W28" si="175">L4*$DM4</f>
        <v>132000</v>
      </c>
      <c r="M28" s="11">
        <f t="shared" si="175"/>
        <v>990000</v>
      </c>
      <c r="N28" s="11">
        <f t="shared" si="175"/>
        <v>132000</v>
      </c>
      <c r="O28" s="11">
        <f t="shared" si="175"/>
        <v>99000</v>
      </c>
      <c r="P28" s="11">
        <f t="shared" si="175"/>
        <v>214500</v>
      </c>
      <c r="Q28" s="11">
        <f t="shared" si="175"/>
        <v>214500</v>
      </c>
      <c r="R28" s="11">
        <f t="shared" si="175"/>
        <v>511500</v>
      </c>
      <c r="S28" s="11">
        <f t="shared" si="175"/>
        <v>148500</v>
      </c>
      <c r="T28" s="11">
        <f t="shared" si="175"/>
        <v>825000</v>
      </c>
      <c r="U28" s="11">
        <f t="shared" si="175"/>
        <v>181500</v>
      </c>
      <c r="V28" s="11">
        <f t="shared" si="175"/>
        <v>16500</v>
      </c>
      <c r="W28" s="11">
        <f t="shared" si="175"/>
        <v>16500</v>
      </c>
      <c r="X28" s="11">
        <f t="shared" si="154"/>
        <v>39888</v>
      </c>
      <c r="Y28" s="11">
        <f t="shared" si="154"/>
        <v>53184</v>
      </c>
      <c r="Z28" s="11">
        <f t="shared" si="154"/>
        <v>93072</v>
      </c>
      <c r="AA28" s="11">
        <f t="shared" si="154"/>
        <v>93072</v>
      </c>
      <c r="AB28" s="11">
        <f t="shared" si="154"/>
        <v>0</v>
      </c>
      <c r="AC28" s="11">
        <f t="shared" si="155"/>
        <v>0</v>
      </c>
      <c r="AD28" s="11">
        <f t="shared" si="155"/>
        <v>27122</v>
      </c>
      <c r="AE28" s="11">
        <f t="shared" si="155"/>
        <v>0</v>
      </c>
      <c r="AF28" s="11">
        <f t="shared" si="155"/>
        <v>0</v>
      </c>
      <c r="AG28" s="11">
        <f t="shared" si="155"/>
        <v>0</v>
      </c>
      <c r="AH28" s="11">
        <f t="shared" ref="AH28:AS28" si="176">AH4*$DP4</f>
        <v>0</v>
      </c>
      <c r="AI28" s="11">
        <f t="shared" si="176"/>
        <v>0</v>
      </c>
      <c r="AJ28" s="11">
        <f t="shared" si="176"/>
        <v>0</v>
      </c>
      <c r="AK28" s="11">
        <f t="shared" si="176"/>
        <v>0</v>
      </c>
      <c r="AL28" s="11">
        <f t="shared" si="176"/>
        <v>0</v>
      </c>
      <c r="AM28" s="11">
        <f t="shared" si="176"/>
        <v>0</v>
      </c>
      <c r="AN28" s="11">
        <f t="shared" si="176"/>
        <v>0</v>
      </c>
      <c r="AO28" s="11">
        <f t="shared" si="176"/>
        <v>0</v>
      </c>
      <c r="AP28" s="11">
        <f t="shared" si="176"/>
        <v>0</v>
      </c>
      <c r="AQ28" s="11">
        <f t="shared" si="176"/>
        <v>0</v>
      </c>
      <c r="AR28" s="11">
        <f t="shared" si="176"/>
        <v>0</v>
      </c>
      <c r="AS28" s="11">
        <f t="shared" si="176"/>
        <v>0</v>
      </c>
      <c r="AT28" s="11">
        <f t="shared" ref="AT28:BB28" si="177">AT4*$DQ4</f>
        <v>0</v>
      </c>
      <c r="AU28" s="11">
        <f t="shared" si="177"/>
        <v>0</v>
      </c>
      <c r="AV28" s="11">
        <f t="shared" si="177"/>
        <v>0</v>
      </c>
      <c r="AW28" s="11">
        <f t="shared" si="177"/>
        <v>0</v>
      </c>
      <c r="AX28" s="11">
        <f t="shared" si="177"/>
        <v>0</v>
      </c>
      <c r="AY28" s="11">
        <f t="shared" si="177"/>
        <v>0</v>
      </c>
      <c r="AZ28" s="11">
        <f t="shared" si="177"/>
        <v>0</v>
      </c>
      <c r="BA28" s="11">
        <f t="shared" si="177"/>
        <v>0</v>
      </c>
      <c r="BB28" s="11">
        <f t="shared" si="177"/>
        <v>0</v>
      </c>
      <c r="BC28" s="11">
        <f t="shared" ref="BC28:BN28" si="178">BC4*$DR4</f>
        <v>0</v>
      </c>
      <c r="BD28" s="11">
        <f t="shared" si="178"/>
        <v>0</v>
      </c>
      <c r="BE28" s="11">
        <f t="shared" si="178"/>
        <v>0</v>
      </c>
      <c r="BF28" s="11">
        <f t="shared" si="178"/>
        <v>0</v>
      </c>
      <c r="BG28" s="11">
        <f t="shared" si="178"/>
        <v>0</v>
      </c>
      <c r="BH28" s="11">
        <f t="shared" si="178"/>
        <v>0</v>
      </c>
      <c r="BI28" s="11">
        <f t="shared" si="178"/>
        <v>0</v>
      </c>
      <c r="BJ28" s="11">
        <f t="shared" si="178"/>
        <v>0</v>
      </c>
      <c r="BK28" s="11">
        <f t="shared" si="178"/>
        <v>0</v>
      </c>
      <c r="BL28" s="11">
        <f t="shared" si="178"/>
        <v>43509</v>
      </c>
      <c r="BM28" s="11">
        <f t="shared" si="178"/>
        <v>0</v>
      </c>
      <c r="BN28" s="11">
        <f t="shared" si="178"/>
        <v>0</v>
      </c>
      <c r="BO28" s="11">
        <f t="shared" ref="BO28:BZ28" si="179">BO4*$DS4</f>
        <v>0</v>
      </c>
      <c r="BP28" s="11">
        <f t="shared" si="179"/>
        <v>0</v>
      </c>
      <c r="BQ28" s="11">
        <f t="shared" si="179"/>
        <v>0</v>
      </c>
      <c r="BR28" s="11">
        <f t="shared" si="179"/>
        <v>0</v>
      </c>
      <c r="BS28" s="11">
        <f t="shared" si="179"/>
        <v>0</v>
      </c>
      <c r="BT28" s="11">
        <f t="shared" si="179"/>
        <v>0</v>
      </c>
      <c r="BU28" s="11">
        <f t="shared" si="179"/>
        <v>0</v>
      </c>
      <c r="BV28" s="11">
        <f t="shared" si="179"/>
        <v>0</v>
      </c>
      <c r="BW28" s="11">
        <f t="shared" si="179"/>
        <v>0</v>
      </c>
      <c r="BX28" s="11">
        <f t="shared" si="179"/>
        <v>0</v>
      </c>
      <c r="BY28" s="11">
        <f t="shared" si="179"/>
        <v>0</v>
      </c>
      <c r="BZ28" s="11">
        <f t="shared" si="179"/>
        <v>0</v>
      </c>
      <c r="CA28" s="11">
        <f t="shared" ref="CA28:CL28" si="180">CA4*$DT4</f>
        <v>0</v>
      </c>
      <c r="CB28" s="11">
        <f t="shared" si="180"/>
        <v>0</v>
      </c>
      <c r="CC28" s="11">
        <f t="shared" si="180"/>
        <v>0</v>
      </c>
      <c r="CD28" s="11">
        <f t="shared" si="180"/>
        <v>0</v>
      </c>
      <c r="CE28" s="11">
        <f t="shared" si="180"/>
        <v>0</v>
      </c>
      <c r="CF28" s="11">
        <f t="shared" si="180"/>
        <v>0</v>
      </c>
      <c r="CG28" s="11">
        <f t="shared" si="180"/>
        <v>0</v>
      </c>
      <c r="CH28" s="11">
        <f t="shared" si="180"/>
        <v>0</v>
      </c>
      <c r="CI28" s="11">
        <f t="shared" si="180"/>
        <v>0</v>
      </c>
      <c r="CJ28" s="11">
        <f t="shared" si="180"/>
        <v>0</v>
      </c>
      <c r="CK28" s="11">
        <f t="shared" si="180"/>
        <v>0</v>
      </c>
      <c r="CL28" s="11">
        <f t="shared" si="180"/>
        <v>0</v>
      </c>
      <c r="CM28" s="11">
        <f t="shared" ref="CM28:DG28" si="181">CM4*$DU4</f>
        <v>0</v>
      </c>
      <c r="CN28" s="11">
        <f t="shared" si="181"/>
        <v>0</v>
      </c>
      <c r="CO28" s="11">
        <f t="shared" si="181"/>
        <v>0</v>
      </c>
      <c r="CP28" s="11">
        <f t="shared" si="181"/>
        <v>0</v>
      </c>
      <c r="CQ28" s="11">
        <f t="shared" si="181"/>
        <v>0</v>
      </c>
      <c r="CR28" s="11">
        <f t="shared" si="181"/>
        <v>0</v>
      </c>
      <c r="CS28" s="11">
        <f t="shared" si="181"/>
        <v>0</v>
      </c>
      <c r="CT28" s="11">
        <f t="shared" si="181"/>
        <v>0</v>
      </c>
      <c r="CU28" s="11">
        <f t="shared" si="181"/>
        <v>0</v>
      </c>
      <c r="CV28" s="11">
        <f t="shared" si="181"/>
        <v>0</v>
      </c>
      <c r="CW28" s="11">
        <f t="shared" si="181"/>
        <v>0</v>
      </c>
      <c r="CX28" s="11">
        <f t="shared" si="181"/>
        <v>0</v>
      </c>
      <c r="CY28" s="11">
        <f t="shared" si="181"/>
        <v>0</v>
      </c>
      <c r="CZ28" s="11">
        <f t="shared" si="181"/>
        <v>0</v>
      </c>
      <c r="DA28" s="11">
        <f t="shared" si="181"/>
        <v>0</v>
      </c>
      <c r="DB28" s="11">
        <f t="shared" si="181"/>
        <v>0</v>
      </c>
      <c r="DC28" s="11">
        <f t="shared" si="181"/>
        <v>0</v>
      </c>
      <c r="DD28" s="11">
        <f t="shared" si="181"/>
        <v>0</v>
      </c>
      <c r="DE28" s="11">
        <f t="shared" si="181"/>
        <v>0</v>
      </c>
      <c r="DF28" s="11">
        <f t="shared" si="181"/>
        <v>0</v>
      </c>
      <c r="DG28" s="11">
        <f t="shared" si="181"/>
        <v>0</v>
      </c>
      <c r="DH28" s="11">
        <f t="shared" ref="DH28:DI28" si="182">DH4*$DU4</f>
        <v>0</v>
      </c>
      <c r="DI28" s="11">
        <f t="shared" si="182"/>
        <v>0</v>
      </c>
      <c r="DJ28" s="11">
        <f t="shared" ref="DJ28:DK28" si="183">DJ4*$DU4</f>
        <v>0</v>
      </c>
      <c r="DK28" s="11">
        <f t="shared" si="183"/>
        <v>0</v>
      </c>
    </row>
    <row r="29" spans="1:126" x14ac:dyDescent="0.25">
      <c r="A29" s="1" t="s">
        <v>8</v>
      </c>
      <c r="B29" s="11">
        <f t="shared" ref="B29:K29" si="184">B5*$DL5</f>
        <v>80800</v>
      </c>
      <c r="C29" s="11">
        <f t="shared" si="184"/>
        <v>121200</v>
      </c>
      <c r="D29" s="11">
        <f t="shared" si="184"/>
        <v>0</v>
      </c>
      <c r="E29" s="11">
        <f t="shared" si="184"/>
        <v>0</v>
      </c>
      <c r="F29" s="11">
        <f t="shared" si="184"/>
        <v>0</v>
      </c>
      <c r="G29" s="11">
        <f t="shared" si="184"/>
        <v>40400</v>
      </c>
      <c r="H29" s="11">
        <f t="shared" si="184"/>
        <v>242400</v>
      </c>
      <c r="I29" s="11">
        <f t="shared" si="184"/>
        <v>161600</v>
      </c>
      <c r="J29" s="11">
        <f t="shared" si="184"/>
        <v>484800</v>
      </c>
      <c r="K29" s="11">
        <f t="shared" si="184"/>
        <v>282800</v>
      </c>
      <c r="L29" s="11">
        <f t="shared" ref="L29:W29" si="185">L5*$DM5</f>
        <v>288400</v>
      </c>
      <c r="M29" s="11">
        <f t="shared" si="185"/>
        <v>576800</v>
      </c>
      <c r="N29" s="11">
        <f t="shared" si="185"/>
        <v>206000</v>
      </c>
      <c r="O29" s="11">
        <f t="shared" si="185"/>
        <v>82400</v>
      </c>
      <c r="P29" s="11">
        <f t="shared" si="185"/>
        <v>453200</v>
      </c>
      <c r="Q29" s="11">
        <f t="shared" si="185"/>
        <v>288400</v>
      </c>
      <c r="R29" s="11">
        <f t="shared" si="185"/>
        <v>123600</v>
      </c>
      <c r="S29" s="11">
        <f t="shared" si="185"/>
        <v>494400</v>
      </c>
      <c r="T29" s="11">
        <f t="shared" si="185"/>
        <v>1442000</v>
      </c>
      <c r="U29" s="11">
        <f t="shared" si="185"/>
        <v>41200</v>
      </c>
      <c r="V29" s="11">
        <f t="shared" si="185"/>
        <v>123600</v>
      </c>
      <c r="W29" s="11">
        <f t="shared" si="185"/>
        <v>0</v>
      </c>
      <c r="X29" s="11">
        <f t="shared" si="154"/>
        <v>0</v>
      </c>
      <c r="Y29" s="11">
        <f t="shared" si="154"/>
        <v>26860</v>
      </c>
      <c r="Z29" s="11">
        <f t="shared" si="154"/>
        <v>107440</v>
      </c>
      <c r="AA29" s="11">
        <f t="shared" si="154"/>
        <v>107440</v>
      </c>
      <c r="AB29" s="11">
        <f t="shared" si="154"/>
        <v>0</v>
      </c>
      <c r="AC29" s="11">
        <f t="shared" si="155"/>
        <v>0</v>
      </c>
      <c r="AD29" s="11">
        <f t="shared" si="155"/>
        <v>0</v>
      </c>
      <c r="AE29" s="11">
        <f t="shared" si="155"/>
        <v>0</v>
      </c>
      <c r="AF29" s="11">
        <f t="shared" si="155"/>
        <v>0</v>
      </c>
      <c r="AG29" s="11">
        <f t="shared" si="155"/>
        <v>0</v>
      </c>
      <c r="AH29" s="11">
        <f t="shared" ref="AH29:AS29" si="186">AH5*$DP5</f>
        <v>0</v>
      </c>
      <c r="AI29" s="11">
        <f t="shared" si="186"/>
        <v>0</v>
      </c>
      <c r="AJ29" s="11">
        <f t="shared" si="186"/>
        <v>0</v>
      </c>
      <c r="AK29" s="11">
        <f t="shared" si="186"/>
        <v>0</v>
      </c>
      <c r="AL29" s="11">
        <f t="shared" si="186"/>
        <v>0</v>
      </c>
      <c r="AM29" s="11">
        <f t="shared" si="186"/>
        <v>0</v>
      </c>
      <c r="AN29" s="11">
        <f t="shared" si="186"/>
        <v>0</v>
      </c>
      <c r="AO29" s="11">
        <f t="shared" si="186"/>
        <v>0</v>
      </c>
      <c r="AP29" s="11">
        <f t="shared" si="186"/>
        <v>0</v>
      </c>
      <c r="AQ29" s="11">
        <f t="shared" si="186"/>
        <v>0</v>
      </c>
      <c r="AR29" s="11">
        <f t="shared" si="186"/>
        <v>0</v>
      </c>
      <c r="AS29" s="11">
        <f t="shared" si="186"/>
        <v>0</v>
      </c>
      <c r="AT29" s="11">
        <f t="shared" ref="AT29:BB29" si="187">AT5*$DQ5</f>
        <v>0</v>
      </c>
      <c r="AU29" s="11">
        <f t="shared" si="187"/>
        <v>0</v>
      </c>
      <c r="AV29" s="11">
        <f t="shared" si="187"/>
        <v>0</v>
      </c>
      <c r="AW29" s="11">
        <f t="shared" si="187"/>
        <v>0</v>
      </c>
      <c r="AX29" s="11">
        <f t="shared" si="187"/>
        <v>0</v>
      </c>
      <c r="AY29" s="11">
        <f t="shared" si="187"/>
        <v>0</v>
      </c>
      <c r="AZ29" s="11">
        <f t="shared" si="187"/>
        <v>0</v>
      </c>
      <c r="BA29" s="11">
        <f t="shared" si="187"/>
        <v>0</v>
      </c>
      <c r="BB29" s="11">
        <f t="shared" si="187"/>
        <v>0</v>
      </c>
      <c r="BC29" s="11">
        <f t="shared" ref="BC29:BN29" si="188">BC5*$DR5</f>
        <v>0</v>
      </c>
      <c r="BD29" s="11">
        <f t="shared" si="188"/>
        <v>0</v>
      </c>
      <c r="BE29" s="11">
        <f t="shared" si="188"/>
        <v>0</v>
      </c>
      <c r="BF29" s="11">
        <f t="shared" si="188"/>
        <v>0</v>
      </c>
      <c r="BG29" s="11">
        <f t="shared" si="188"/>
        <v>0</v>
      </c>
      <c r="BH29" s="11">
        <f t="shared" si="188"/>
        <v>0</v>
      </c>
      <c r="BI29" s="11">
        <f t="shared" si="188"/>
        <v>0</v>
      </c>
      <c r="BJ29" s="11">
        <f t="shared" si="188"/>
        <v>0</v>
      </c>
      <c r="BK29" s="11">
        <f t="shared" si="188"/>
        <v>0</v>
      </c>
      <c r="BL29" s="11">
        <f t="shared" si="188"/>
        <v>0</v>
      </c>
      <c r="BM29" s="11">
        <f t="shared" si="188"/>
        <v>0</v>
      </c>
      <c r="BN29" s="11">
        <f t="shared" si="188"/>
        <v>0</v>
      </c>
      <c r="BO29" s="11">
        <f t="shared" ref="BO29:BZ29" si="189">BO5*$DS5</f>
        <v>0</v>
      </c>
      <c r="BP29" s="11">
        <f t="shared" si="189"/>
        <v>0</v>
      </c>
      <c r="BQ29" s="11">
        <f t="shared" si="189"/>
        <v>0</v>
      </c>
      <c r="BR29" s="11">
        <f t="shared" si="189"/>
        <v>0</v>
      </c>
      <c r="BS29" s="11">
        <f t="shared" si="189"/>
        <v>0</v>
      </c>
      <c r="BT29" s="11">
        <f t="shared" si="189"/>
        <v>0</v>
      </c>
      <c r="BU29" s="11">
        <f t="shared" si="189"/>
        <v>0</v>
      </c>
      <c r="BV29" s="11">
        <f t="shared" si="189"/>
        <v>0</v>
      </c>
      <c r="BW29" s="11">
        <f t="shared" si="189"/>
        <v>0</v>
      </c>
      <c r="BX29" s="11">
        <f t="shared" si="189"/>
        <v>0</v>
      </c>
      <c r="BY29" s="11">
        <f t="shared" si="189"/>
        <v>0</v>
      </c>
      <c r="BZ29" s="11">
        <f t="shared" si="189"/>
        <v>0</v>
      </c>
      <c r="CA29" s="11">
        <f t="shared" ref="CA29:CL29" si="190">CA5*$DT5</f>
        <v>0</v>
      </c>
      <c r="CB29" s="11">
        <f t="shared" si="190"/>
        <v>0</v>
      </c>
      <c r="CC29" s="11">
        <f t="shared" si="190"/>
        <v>0</v>
      </c>
      <c r="CD29" s="11">
        <f t="shared" si="190"/>
        <v>0</v>
      </c>
      <c r="CE29" s="11">
        <f t="shared" si="190"/>
        <v>0</v>
      </c>
      <c r="CF29" s="11">
        <f t="shared" si="190"/>
        <v>0</v>
      </c>
      <c r="CG29" s="11">
        <f t="shared" si="190"/>
        <v>0</v>
      </c>
      <c r="CH29" s="11">
        <f t="shared" si="190"/>
        <v>0</v>
      </c>
      <c r="CI29" s="11">
        <f t="shared" si="190"/>
        <v>0</v>
      </c>
      <c r="CJ29" s="11">
        <f t="shared" si="190"/>
        <v>0</v>
      </c>
      <c r="CK29" s="11">
        <f t="shared" si="190"/>
        <v>0</v>
      </c>
      <c r="CL29" s="11">
        <f t="shared" si="190"/>
        <v>0</v>
      </c>
      <c r="CM29" s="11">
        <f t="shared" ref="CM29:DG29" si="191">CM5*$DU5</f>
        <v>0</v>
      </c>
      <c r="CN29" s="11">
        <f t="shared" si="191"/>
        <v>0</v>
      </c>
      <c r="CO29" s="11">
        <f t="shared" si="191"/>
        <v>0</v>
      </c>
      <c r="CP29" s="11">
        <f t="shared" si="191"/>
        <v>0</v>
      </c>
      <c r="CQ29" s="11">
        <f t="shared" si="191"/>
        <v>0</v>
      </c>
      <c r="CR29" s="11">
        <f t="shared" si="191"/>
        <v>0</v>
      </c>
      <c r="CS29" s="11">
        <f t="shared" si="191"/>
        <v>0</v>
      </c>
      <c r="CT29" s="11">
        <f t="shared" si="191"/>
        <v>0</v>
      </c>
      <c r="CU29" s="11">
        <f t="shared" si="191"/>
        <v>0</v>
      </c>
      <c r="CV29" s="11">
        <f t="shared" si="191"/>
        <v>0</v>
      </c>
      <c r="CW29" s="11">
        <f t="shared" si="191"/>
        <v>0</v>
      </c>
      <c r="CX29" s="11">
        <f t="shared" si="191"/>
        <v>0</v>
      </c>
      <c r="CY29" s="11">
        <f t="shared" si="191"/>
        <v>0</v>
      </c>
      <c r="CZ29" s="11">
        <f t="shared" si="191"/>
        <v>0</v>
      </c>
      <c r="DA29" s="11">
        <f t="shared" si="191"/>
        <v>0</v>
      </c>
      <c r="DB29" s="11">
        <f t="shared" si="191"/>
        <v>0</v>
      </c>
      <c r="DC29" s="11">
        <f t="shared" si="191"/>
        <v>0</v>
      </c>
      <c r="DD29" s="11">
        <f t="shared" si="191"/>
        <v>0</v>
      </c>
      <c r="DE29" s="11">
        <f t="shared" si="191"/>
        <v>0</v>
      </c>
      <c r="DF29" s="11">
        <f t="shared" si="191"/>
        <v>0</v>
      </c>
      <c r="DG29" s="11">
        <f t="shared" si="191"/>
        <v>0</v>
      </c>
      <c r="DH29" s="11">
        <f t="shared" ref="DH29:DI29" si="192">DH5*$DU5</f>
        <v>0</v>
      </c>
      <c r="DI29" s="11">
        <f t="shared" si="192"/>
        <v>0</v>
      </c>
      <c r="DJ29" s="11">
        <f t="shared" ref="DJ29:DK29" si="193">DJ5*$DU5</f>
        <v>0</v>
      </c>
      <c r="DK29" s="11">
        <f t="shared" si="193"/>
        <v>0</v>
      </c>
    </row>
    <row r="30" spans="1:126" x14ac:dyDescent="0.25">
      <c r="A30" s="1" t="s">
        <v>9</v>
      </c>
      <c r="B30" s="11">
        <f t="shared" ref="B30:K30" si="194">B6*$DL6</f>
        <v>57000</v>
      </c>
      <c r="C30" s="11">
        <f t="shared" si="194"/>
        <v>199500</v>
      </c>
      <c r="D30" s="11">
        <f t="shared" si="194"/>
        <v>285000</v>
      </c>
      <c r="E30" s="11">
        <f t="shared" si="194"/>
        <v>57000</v>
      </c>
      <c r="F30" s="11">
        <f t="shared" si="194"/>
        <v>370500</v>
      </c>
      <c r="G30" s="11">
        <f t="shared" si="194"/>
        <v>28500</v>
      </c>
      <c r="H30" s="11">
        <f t="shared" si="194"/>
        <v>114000</v>
      </c>
      <c r="I30" s="11">
        <f t="shared" si="194"/>
        <v>0</v>
      </c>
      <c r="J30" s="11">
        <f t="shared" si="194"/>
        <v>28500</v>
      </c>
      <c r="K30" s="11">
        <f t="shared" si="194"/>
        <v>342000</v>
      </c>
      <c r="L30" s="11">
        <f t="shared" ref="L30:W30" si="195">L6*$DM6</f>
        <v>58200</v>
      </c>
      <c r="M30" s="11">
        <f t="shared" si="195"/>
        <v>174600</v>
      </c>
      <c r="N30" s="11">
        <f t="shared" si="195"/>
        <v>58200</v>
      </c>
      <c r="O30" s="11">
        <f t="shared" si="195"/>
        <v>145500</v>
      </c>
      <c r="P30" s="11">
        <f t="shared" si="195"/>
        <v>2910000</v>
      </c>
      <c r="Q30" s="11">
        <f t="shared" si="195"/>
        <v>960300</v>
      </c>
      <c r="R30" s="11">
        <f t="shared" si="195"/>
        <v>1105800</v>
      </c>
      <c r="S30" s="11">
        <f t="shared" si="195"/>
        <v>1746000</v>
      </c>
      <c r="T30" s="11">
        <f t="shared" si="195"/>
        <v>1804200</v>
      </c>
      <c r="U30" s="11">
        <f t="shared" si="195"/>
        <v>203700</v>
      </c>
      <c r="V30" s="11">
        <f t="shared" si="195"/>
        <v>0</v>
      </c>
      <c r="W30" s="11">
        <f t="shared" si="195"/>
        <v>4015800</v>
      </c>
      <c r="X30" s="11">
        <f t="shared" si="154"/>
        <v>0</v>
      </c>
      <c r="Y30" s="11">
        <f t="shared" si="154"/>
        <v>0</v>
      </c>
      <c r="Z30" s="11">
        <f t="shared" si="154"/>
        <v>0</v>
      </c>
      <c r="AA30" s="11">
        <f t="shared" si="154"/>
        <v>0</v>
      </c>
      <c r="AB30" s="11">
        <f t="shared" si="154"/>
        <v>0</v>
      </c>
      <c r="AC30" s="11">
        <f t="shared" si="155"/>
        <v>0</v>
      </c>
      <c r="AD30" s="11">
        <f t="shared" si="155"/>
        <v>0</v>
      </c>
      <c r="AE30" s="11">
        <f t="shared" si="155"/>
        <v>0</v>
      </c>
      <c r="AF30" s="11">
        <f t="shared" si="155"/>
        <v>0</v>
      </c>
      <c r="AG30" s="11">
        <f t="shared" si="155"/>
        <v>0</v>
      </c>
      <c r="AH30" s="11">
        <f t="shared" ref="AH30:AS30" si="196">AH6*$DP6</f>
        <v>0</v>
      </c>
      <c r="AI30" s="11">
        <f t="shared" si="196"/>
        <v>0</v>
      </c>
      <c r="AJ30" s="11">
        <f t="shared" si="196"/>
        <v>0</v>
      </c>
      <c r="AK30" s="11">
        <f t="shared" si="196"/>
        <v>0</v>
      </c>
      <c r="AL30" s="11">
        <f t="shared" si="196"/>
        <v>0</v>
      </c>
      <c r="AM30" s="11">
        <f t="shared" si="196"/>
        <v>0</v>
      </c>
      <c r="AN30" s="11">
        <f t="shared" si="196"/>
        <v>0</v>
      </c>
      <c r="AO30" s="11">
        <f t="shared" si="196"/>
        <v>0</v>
      </c>
      <c r="AP30" s="11">
        <f t="shared" si="196"/>
        <v>0</v>
      </c>
      <c r="AQ30" s="11">
        <f t="shared" si="196"/>
        <v>0</v>
      </c>
      <c r="AR30" s="11">
        <f t="shared" si="196"/>
        <v>0</v>
      </c>
      <c r="AS30" s="11">
        <f t="shared" si="196"/>
        <v>0</v>
      </c>
      <c r="AT30" s="11">
        <f t="shared" ref="AT30:BB30" si="197">AT6*$DQ6</f>
        <v>0</v>
      </c>
      <c r="AU30" s="11">
        <f t="shared" si="197"/>
        <v>0</v>
      </c>
      <c r="AV30" s="11">
        <f t="shared" si="197"/>
        <v>0</v>
      </c>
      <c r="AW30" s="11">
        <f t="shared" si="197"/>
        <v>0</v>
      </c>
      <c r="AX30" s="11">
        <f t="shared" si="197"/>
        <v>0</v>
      </c>
      <c r="AY30" s="11">
        <f t="shared" si="197"/>
        <v>0</v>
      </c>
      <c r="AZ30" s="11">
        <f t="shared" si="197"/>
        <v>0</v>
      </c>
      <c r="BA30" s="11">
        <f t="shared" si="197"/>
        <v>0</v>
      </c>
      <c r="BB30" s="11">
        <f t="shared" si="197"/>
        <v>0</v>
      </c>
      <c r="BC30" s="11">
        <f t="shared" ref="BC30:BN30" si="198">BC6*$DR6</f>
        <v>0</v>
      </c>
      <c r="BD30" s="11">
        <f t="shared" si="198"/>
        <v>0</v>
      </c>
      <c r="BE30" s="11">
        <f t="shared" si="198"/>
        <v>0</v>
      </c>
      <c r="BF30" s="11">
        <f t="shared" si="198"/>
        <v>0</v>
      </c>
      <c r="BG30" s="11">
        <f t="shared" si="198"/>
        <v>0</v>
      </c>
      <c r="BH30" s="11">
        <f t="shared" si="198"/>
        <v>0</v>
      </c>
      <c r="BI30" s="11">
        <f t="shared" si="198"/>
        <v>0</v>
      </c>
      <c r="BJ30" s="11">
        <f t="shared" si="198"/>
        <v>0</v>
      </c>
      <c r="BK30" s="11">
        <f t="shared" si="198"/>
        <v>0</v>
      </c>
      <c r="BL30" s="11">
        <f t="shared" si="198"/>
        <v>0</v>
      </c>
      <c r="BM30" s="11">
        <f t="shared" si="198"/>
        <v>0</v>
      </c>
      <c r="BN30" s="11">
        <f t="shared" si="198"/>
        <v>0</v>
      </c>
      <c r="BO30" s="11">
        <f t="shared" ref="BO30:BZ30" si="199">BO6*$DS6</f>
        <v>0</v>
      </c>
      <c r="BP30" s="11">
        <f t="shared" si="199"/>
        <v>0</v>
      </c>
      <c r="BQ30" s="11">
        <f t="shared" si="199"/>
        <v>0</v>
      </c>
      <c r="BR30" s="11">
        <f t="shared" si="199"/>
        <v>0</v>
      </c>
      <c r="BS30" s="11">
        <f t="shared" si="199"/>
        <v>0</v>
      </c>
      <c r="BT30" s="11">
        <f t="shared" si="199"/>
        <v>0</v>
      </c>
      <c r="BU30" s="11">
        <f t="shared" si="199"/>
        <v>0</v>
      </c>
      <c r="BV30" s="11">
        <f t="shared" si="199"/>
        <v>0</v>
      </c>
      <c r="BW30" s="11">
        <f t="shared" si="199"/>
        <v>0</v>
      </c>
      <c r="BX30" s="11">
        <f t="shared" si="199"/>
        <v>0</v>
      </c>
      <c r="BY30" s="11">
        <f t="shared" si="199"/>
        <v>0</v>
      </c>
      <c r="BZ30" s="11">
        <f t="shared" si="199"/>
        <v>0</v>
      </c>
      <c r="CA30" s="11">
        <f t="shared" ref="CA30:CL30" si="200">CA6*$DT6</f>
        <v>0</v>
      </c>
      <c r="CB30" s="11">
        <f t="shared" si="200"/>
        <v>0</v>
      </c>
      <c r="CC30" s="11">
        <f t="shared" si="200"/>
        <v>0</v>
      </c>
      <c r="CD30" s="11">
        <f t="shared" si="200"/>
        <v>0</v>
      </c>
      <c r="CE30" s="11">
        <f t="shared" si="200"/>
        <v>0</v>
      </c>
      <c r="CF30" s="11">
        <f t="shared" si="200"/>
        <v>0</v>
      </c>
      <c r="CG30" s="11">
        <f t="shared" si="200"/>
        <v>0</v>
      </c>
      <c r="CH30" s="11">
        <f t="shared" si="200"/>
        <v>0</v>
      </c>
      <c r="CI30" s="11">
        <f t="shared" si="200"/>
        <v>0</v>
      </c>
      <c r="CJ30" s="11">
        <f t="shared" si="200"/>
        <v>0</v>
      </c>
      <c r="CK30" s="11">
        <f t="shared" si="200"/>
        <v>0</v>
      </c>
      <c r="CL30" s="11">
        <f t="shared" si="200"/>
        <v>0</v>
      </c>
      <c r="CM30" s="11">
        <f t="shared" ref="CM30:DG30" si="201">CM6*$DU6</f>
        <v>0</v>
      </c>
      <c r="CN30" s="11">
        <f t="shared" si="201"/>
        <v>0</v>
      </c>
      <c r="CO30" s="11">
        <f t="shared" si="201"/>
        <v>0</v>
      </c>
      <c r="CP30" s="11">
        <f t="shared" si="201"/>
        <v>0</v>
      </c>
      <c r="CQ30" s="11">
        <f t="shared" si="201"/>
        <v>0</v>
      </c>
      <c r="CR30" s="11">
        <f t="shared" si="201"/>
        <v>0</v>
      </c>
      <c r="CS30" s="11">
        <f t="shared" si="201"/>
        <v>0</v>
      </c>
      <c r="CT30" s="11">
        <f t="shared" si="201"/>
        <v>0</v>
      </c>
      <c r="CU30" s="11">
        <f t="shared" si="201"/>
        <v>0</v>
      </c>
      <c r="CV30" s="11">
        <f t="shared" si="201"/>
        <v>0</v>
      </c>
      <c r="CW30" s="11">
        <f t="shared" si="201"/>
        <v>0</v>
      </c>
      <c r="CX30" s="11">
        <f t="shared" si="201"/>
        <v>0</v>
      </c>
      <c r="CY30" s="11">
        <f t="shared" si="201"/>
        <v>0</v>
      </c>
      <c r="CZ30" s="11">
        <f t="shared" si="201"/>
        <v>0</v>
      </c>
      <c r="DA30" s="11">
        <f t="shared" si="201"/>
        <v>0</v>
      </c>
      <c r="DB30" s="11">
        <f t="shared" si="201"/>
        <v>0</v>
      </c>
      <c r="DC30" s="11">
        <f t="shared" si="201"/>
        <v>0</v>
      </c>
      <c r="DD30" s="11">
        <f t="shared" si="201"/>
        <v>0</v>
      </c>
      <c r="DE30" s="11">
        <f t="shared" si="201"/>
        <v>0</v>
      </c>
      <c r="DF30" s="11">
        <f t="shared" si="201"/>
        <v>0</v>
      </c>
      <c r="DG30" s="11">
        <f t="shared" si="201"/>
        <v>0</v>
      </c>
      <c r="DH30" s="11">
        <f t="shared" ref="DH30:DI30" si="202">DH6*$DU6</f>
        <v>0</v>
      </c>
      <c r="DI30" s="11">
        <f t="shared" si="202"/>
        <v>0</v>
      </c>
      <c r="DJ30" s="11">
        <f t="shared" ref="DJ30:DK30" si="203">DJ6*$DU6</f>
        <v>0</v>
      </c>
      <c r="DK30" s="11">
        <f t="shared" si="203"/>
        <v>0</v>
      </c>
    </row>
    <row r="31" spans="1:126" ht="15.75" thickBot="1" x14ac:dyDescent="0.3">
      <c r="A31" s="6" t="s">
        <v>11</v>
      </c>
      <c r="B31" s="11">
        <f t="shared" ref="B31:K31" si="204">B7*$DL7</f>
        <v>0</v>
      </c>
      <c r="C31" s="11">
        <f t="shared" si="204"/>
        <v>0</v>
      </c>
      <c r="D31" s="11">
        <f t="shared" si="204"/>
        <v>0</v>
      </c>
      <c r="E31" s="11">
        <f t="shared" si="204"/>
        <v>0</v>
      </c>
      <c r="F31" s="11">
        <f t="shared" si="204"/>
        <v>0</v>
      </c>
      <c r="G31" s="11">
        <f t="shared" si="204"/>
        <v>0</v>
      </c>
      <c r="H31" s="11">
        <f t="shared" si="204"/>
        <v>0</v>
      </c>
      <c r="I31" s="11">
        <f t="shared" si="204"/>
        <v>0</v>
      </c>
      <c r="J31" s="11">
        <f t="shared" si="204"/>
        <v>0</v>
      </c>
      <c r="K31" s="11">
        <f t="shared" si="204"/>
        <v>0</v>
      </c>
      <c r="L31" s="11">
        <f t="shared" ref="L31:W31" si="205">L7*$DM7</f>
        <v>0</v>
      </c>
      <c r="M31" s="11">
        <f t="shared" si="205"/>
        <v>60600</v>
      </c>
      <c r="N31" s="11">
        <f t="shared" si="205"/>
        <v>0</v>
      </c>
      <c r="O31" s="11">
        <f t="shared" si="205"/>
        <v>0</v>
      </c>
      <c r="P31" s="11">
        <f t="shared" si="205"/>
        <v>0</v>
      </c>
      <c r="Q31" s="11">
        <f t="shared" si="205"/>
        <v>0</v>
      </c>
      <c r="R31" s="11">
        <f t="shared" si="205"/>
        <v>0</v>
      </c>
      <c r="S31" s="11">
        <f t="shared" si="205"/>
        <v>0</v>
      </c>
      <c r="T31" s="11">
        <f t="shared" si="205"/>
        <v>0</v>
      </c>
      <c r="U31" s="11">
        <f t="shared" si="205"/>
        <v>0</v>
      </c>
      <c r="V31" s="11">
        <f t="shared" si="205"/>
        <v>0</v>
      </c>
      <c r="W31" s="11">
        <f t="shared" si="205"/>
        <v>0</v>
      </c>
      <c r="X31" s="11">
        <f t="shared" si="154"/>
        <v>0</v>
      </c>
      <c r="Y31" s="11">
        <f t="shared" si="154"/>
        <v>0</v>
      </c>
      <c r="Z31" s="11">
        <f t="shared" si="154"/>
        <v>0</v>
      </c>
      <c r="AA31" s="11">
        <f t="shared" si="154"/>
        <v>0</v>
      </c>
      <c r="AB31" s="11">
        <f t="shared" si="154"/>
        <v>0</v>
      </c>
      <c r="AC31" s="11">
        <f t="shared" si="155"/>
        <v>0</v>
      </c>
      <c r="AD31" s="11">
        <f t="shared" si="155"/>
        <v>0</v>
      </c>
      <c r="AE31" s="11">
        <f t="shared" si="155"/>
        <v>0</v>
      </c>
      <c r="AF31" s="11">
        <f t="shared" si="155"/>
        <v>0</v>
      </c>
      <c r="AG31" s="11">
        <f t="shared" si="155"/>
        <v>0</v>
      </c>
      <c r="AH31" s="11">
        <f t="shared" ref="AH31:AS31" si="206">AH7*$DP7</f>
        <v>0</v>
      </c>
      <c r="AI31" s="11">
        <f t="shared" si="206"/>
        <v>0</v>
      </c>
      <c r="AJ31" s="11">
        <f t="shared" si="206"/>
        <v>0</v>
      </c>
      <c r="AK31" s="11">
        <f t="shared" si="206"/>
        <v>0</v>
      </c>
      <c r="AL31" s="11">
        <f t="shared" si="206"/>
        <v>0</v>
      </c>
      <c r="AM31" s="11">
        <f t="shared" si="206"/>
        <v>0</v>
      </c>
      <c r="AN31" s="11">
        <f t="shared" si="206"/>
        <v>0</v>
      </c>
      <c r="AO31" s="11">
        <f t="shared" si="206"/>
        <v>0</v>
      </c>
      <c r="AP31" s="11">
        <f t="shared" si="206"/>
        <v>0</v>
      </c>
      <c r="AQ31" s="11">
        <f t="shared" si="206"/>
        <v>0</v>
      </c>
      <c r="AR31" s="11">
        <f t="shared" si="206"/>
        <v>0</v>
      </c>
      <c r="AS31" s="11">
        <f t="shared" si="206"/>
        <v>0</v>
      </c>
      <c r="AT31" s="11">
        <f t="shared" ref="AT31:BB31" si="207">AT7*$DQ7</f>
        <v>0</v>
      </c>
      <c r="AU31" s="11">
        <f t="shared" si="207"/>
        <v>0</v>
      </c>
      <c r="AV31" s="11">
        <f t="shared" si="207"/>
        <v>0</v>
      </c>
      <c r="AW31" s="11">
        <f t="shared" si="207"/>
        <v>0</v>
      </c>
      <c r="AX31" s="11">
        <f t="shared" si="207"/>
        <v>0</v>
      </c>
      <c r="AY31" s="11">
        <f t="shared" si="207"/>
        <v>0</v>
      </c>
      <c r="AZ31" s="11">
        <f t="shared" si="207"/>
        <v>0</v>
      </c>
      <c r="BA31" s="11">
        <f t="shared" si="207"/>
        <v>0</v>
      </c>
      <c r="BB31" s="11">
        <f t="shared" si="207"/>
        <v>0</v>
      </c>
      <c r="BC31" s="11">
        <f t="shared" ref="BC31:BN31" si="208">BC7*$DR7</f>
        <v>0</v>
      </c>
      <c r="BD31" s="11">
        <f t="shared" si="208"/>
        <v>0</v>
      </c>
      <c r="BE31" s="11">
        <f t="shared" si="208"/>
        <v>0</v>
      </c>
      <c r="BF31" s="11">
        <f t="shared" si="208"/>
        <v>0</v>
      </c>
      <c r="BG31" s="11">
        <f t="shared" si="208"/>
        <v>0</v>
      </c>
      <c r="BH31" s="11">
        <f t="shared" si="208"/>
        <v>0</v>
      </c>
      <c r="BI31" s="11">
        <f t="shared" si="208"/>
        <v>0</v>
      </c>
      <c r="BJ31" s="11">
        <f t="shared" si="208"/>
        <v>0</v>
      </c>
      <c r="BK31" s="11">
        <f t="shared" si="208"/>
        <v>0</v>
      </c>
      <c r="BL31" s="11">
        <f t="shared" si="208"/>
        <v>0</v>
      </c>
      <c r="BM31" s="11">
        <f t="shared" si="208"/>
        <v>0</v>
      </c>
      <c r="BN31" s="11">
        <f t="shared" si="208"/>
        <v>0</v>
      </c>
      <c r="BO31" s="11">
        <f t="shared" ref="BO31:BZ31" si="209">BO7*$DS7</f>
        <v>0</v>
      </c>
      <c r="BP31" s="11">
        <f t="shared" si="209"/>
        <v>0</v>
      </c>
      <c r="BQ31" s="11">
        <f t="shared" si="209"/>
        <v>0</v>
      </c>
      <c r="BR31" s="11">
        <f t="shared" si="209"/>
        <v>0</v>
      </c>
      <c r="BS31" s="11">
        <f t="shared" si="209"/>
        <v>0</v>
      </c>
      <c r="BT31" s="11">
        <f t="shared" si="209"/>
        <v>0</v>
      </c>
      <c r="BU31" s="11">
        <f t="shared" si="209"/>
        <v>0</v>
      </c>
      <c r="BV31" s="11">
        <f t="shared" si="209"/>
        <v>0</v>
      </c>
      <c r="BW31" s="11">
        <f t="shared" si="209"/>
        <v>0</v>
      </c>
      <c r="BX31" s="11">
        <f t="shared" si="209"/>
        <v>0</v>
      </c>
      <c r="BY31" s="11">
        <f t="shared" si="209"/>
        <v>0</v>
      </c>
      <c r="BZ31" s="11">
        <f t="shared" si="209"/>
        <v>0</v>
      </c>
      <c r="CA31" s="11">
        <f t="shared" ref="CA31:CL31" si="210">CA7*$DT7</f>
        <v>0</v>
      </c>
      <c r="CB31" s="11">
        <f t="shared" si="210"/>
        <v>0</v>
      </c>
      <c r="CC31" s="11">
        <f t="shared" si="210"/>
        <v>0</v>
      </c>
      <c r="CD31" s="11">
        <f t="shared" si="210"/>
        <v>0</v>
      </c>
      <c r="CE31" s="11">
        <f t="shared" si="210"/>
        <v>0</v>
      </c>
      <c r="CF31" s="11">
        <f t="shared" si="210"/>
        <v>0</v>
      </c>
      <c r="CG31" s="11">
        <f t="shared" si="210"/>
        <v>0</v>
      </c>
      <c r="CH31" s="11">
        <f t="shared" si="210"/>
        <v>0</v>
      </c>
      <c r="CI31" s="11">
        <f t="shared" si="210"/>
        <v>0</v>
      </c>
      <c r="CJ31" s="11">
        <f t="shared" si="210"/>
        <v>0</v>
      </c>
      <c r="CK31" s="11">
        <f t="shared" si="210"/>
        <v>0</v>
      </c>
      <c r="CL31" s="11">
        <f t="shared" si="210"/>
        <v>0</v>
      </c>
      <c r="CM31" s="11">
        <f t="shared" ref="CM31:DG31" si="211">CM7*$DU7</f>
        <v>0</v>
      </c>
      <c r="CN31" s="11">
        <f t="shared" si="211"/>
        <v>0</v>
      </c>
      <c r="CO31" s="11">
        <f t="shared" si="211"/>
        <v>0</v>
      </c>
      <c r="CP31" s="11">
        <f t="shared" si="211"/>
        <v>0</v>
      </c>
      <c r="CQ31" s="11">
        <f t="shared" si="211"/>
        <v>0</v>
      </c>
      <c r="CR31" s="11">
        <f t="shared" si="211"/>
        <v>0</v>
      </c>
      <c r="CS31" s="11">
        <f t="shared" si="211"/>
        <v>0</v>
      </c>
      <c r="CT31" s="11">
        <f t="shared" si="211"/>
        <v>0</v>
      </c>
      <c r="CU31" s="11">
        <f t="shared" si="211"/>
        <v>0</v>
      </c>
      <c r="CV31" s="11">
        <f t="shared" si="211"/>
        <v>0</v>
      </c>
      <c r="CW31" s="11">
        <f t="shared" si="211"/>
        <v>0</v>
      </c>
      <c r="CX31" s="11">
        <f t="shared" si="211"/>
        <v>0</v>
      </c>
      <c r="CY31" s="11">
        <f t="shared" si="211"/>
        <v>0</v>
      </c>
      <c r="CZ31" s="11">
        <f t="shared" si="211"/>
        <v>0</v>
      </c>
      <c r="DA31" s="11">
        <f t="shared" si="211"/>
        <v>0</v>
      </c>
      <c r="DB31" s="11">
        <f t="shared" si="211"/>
        <v>0</v>
      </c>
      <c r="DC31" s="11">
        <f t="shared" si="211"/>
        <v>0</v>
      </c>
      <c r="DD31" s="11">
        <f t="shared" si="211"/>
        <v>0</v>
      </c>
      <c r="DE31" s="11">
        <f t="shared" si="211"/>
        <v>0</v>
      </c>
      <c r="DF31" s="11">
        <f t="shared" si="211"/>
        <v>0</v>
      </c>
      <c r="DG31" s="11">
        <f t="shared" si="211"/>
        <v>0</v>
      </c>
      <c r="DH31" s="11">
        <f t="shared" ref="DH31:DI31" si="212">DH7*$DU7</f>
        <v>0</v>
      </c>
      <c r="DI31" s="11">
        <f t="shared" si="212"/>
        <v>0</v>
      </c>
      <c r="DJ31" s="11">
        <f t="shared" ref="DJ31:DK31" si="213">DJ7*$DU7</f>
        <v>0</v>
      </c>
      <c r="DK31" s="11">
        <f t="shared" si="213"/>
        <v>0</v>
      </c>
    </row>
    <row r="32" spans="1:126" s="2" customFormat="1" ht="30.75" thickBot="1" x14ac:dyDescent="0.3">
      <c r="A32" s="20" t="s">
        <v>17</v>
      </c>
      <c r="B32" s="21">
        <f>SUM(B26:B31)</f>
        <v>771400</v>
      </c>
      <c r="C32" s="21">
        <f t="shared" ref="C32:W32" si="214">SUM(C26:C31)</f>
        <v>1340900</v>
      </c>
      <c r="D32" s="21">
        <f t="shared" si="214"/>
        <v>3274800</v>
      </c>
      <c r="E32" s="21">
        <f t="shared" si="214"/>
        <v>641600</v>
      </c>
      <c r="F32" s="21">
        <f t="shared" si="214"/>
        <v>1586700</v>
      </c>
      <c r="G32" s="21">
        <f t="shared" si="214"/>
        <v>2141700</v>
      </c>
      <c r="H32" s="21">
        <f t="shared" si="214"/>
        <v>1857200</v>
      </c>
      <c r="I32" s="21">
        <f t="shared" si="214"/>
        <v>1216400</v>
      </c>
      <c r="J32" s="21">
        <f t="shared" si="214"/>
        <v>2704700</v>
      </c>
      <c r="K32" s="21">
        <f t="shared" si="214"/>
        <v>4865800</v>
      </c>
      <c r="L32" s="21">
        <f t="shared" si="214"/>
        <v>2239000</v>
      </c>
      <c r="M32" s="21">
        <f t="shared" si="214"/>
        <v>4480400</v>
      </c>
      <c r="N32" s="21">
        <f t="shared" si="214"/>
        <v>1096400</v>
      </c>
      <c r="O32" s="21">
        <f t="shared" si="214"/>
        <v>1883000</v>
      </c>
      <c r="P32" s="21">
        <f t="shared" si="214"/>
        <v>4286900</v>
      </c>
      <c r="Q32" s="21">
        <f t="shared" si="214"/>
        <v>1819600</v>
      </c>
      <c r="R32" s="21">
        <f t="shared" si="214"/>
        <v>2322300</v>
      </c>
      <c r="S32" s="21">
        <f t="shared" si="214"/>
        <v>5510100</v>
      </c>
      <c r="T32" s="21">
        <f t="shared" si="214"/>
        <v>8490200</v>
      </c>
      <c r="U32" s="21">
        <f t="shared" si="214"/>
        <v>3855400</v>
      </c>
      <c r="V32" s="21">
        <f t="shared" si="214"/>
        <v>1770000</v>
      </c>
      <c r="W32" s="21">
        <f t="shared" si="214"/>
        <v>5430900</v>
      </c>
      <c r="X32" s="21">
        <f t="shared" ref="X32:Y32" si="215">SUM(X26:X31)</f>
        <v>1017092</v>
      </c>
      <c r="Y32" s="21">
        <f t="shared" si="215"/>
        <v>1799703</v>
      </c>
      <c r="Z32" s="21">
        <f t="shared" ref="Z32:AA32" si="216">SUM(Z26:Z31)</f>
        <v>4423742</v>
      </c>
      <c r="AA32" s="21">
        <f t="shared" si="216"/>
        <v>4423742</v>
      </c>
      <c r="AB32" s="21">
        <f t="shared" ref="AB32:AC32" si="217">SUM(AB26:AB31)</f>
        <v>1012767</v>
      </c>
      <c r="AC32" s="21">
        <f t="shared" si="217"/>
        <v>2504454</v>
      </c>
      <c r="AD32" s="21">
        <f t="shared" ref="AD32" si="218">SUM(AD26:AD31)</f>
        <v>2144318</v>
      </c>
      <c r="AE32" s="21">
        <f t="shared" ref="AE32:AG32" si="219">SUM(AE26:AE31)</f>
        <v>2594610</v>
      </c>
      <c r="AF32" s="21">
        <f t="shared" ref="AF32" si="220">SUM(AF26:AF31)</f>
        <v>1508806</v>
      </c>
      <c r="AG32" s="21">
        <f t="shared" si="219"/>
        <v>1402192</v>
      </c>
      <c r="AH32" s="21">
        <f t="shared" ref="AH32:AI32" si="221">SUM(AH26:AH31)</f>
        <v>464008</v>
      </c>
      <c r="AI32" s="21">
        <f t="shared" si="221"/>
        <v>3169940</v>
      </c>
      <c r="AJ32" s="21">
        <f t="shared" ref="AJ32" si="222">SUM(AJ26:AJ31)</f>
        <v>1399324</v>
      </c>
      <c r="AK32" s="21">
        <f t="shared" ref="AK32:AL32" si="223">SUM(AK26:AK31)</f>
        <v>64424</v>
      </c>
      <c r="AL32" s="21">
        <f t="shared" si="223"/>
        <v>615636</v>
      </c>
      <c r="AM32" s="21">
        <f t="shared" ref="AM32:AN32" si="224">SUM(AM26:AM31)</f>
        <v>433726</v>
      </c>
      <c r="AN32" s="21">
        <f t="shared" si="224"/>
        <v>159566</v>
      </c>
      <c r="AO32" s="21">
        <f t="shared" ref="AO32:AP32" si="225">SUM(AO26:AO31)</f>
        <v>2160010</v>
      </c>
      <c r="AP32" s="21">
        <f t="shared" si="225"/>
        <v>53214</v>
      </c>
      <c r="AQ32" s="21">
        <f t="shared" ref="AQ32" si="226">SUM(AQ26:AQ31)</f>
        <v>418052</v>
      </c>
      <c r="AR32" s="21">
        <f t="shared" ref="AR32" si="227">SUM(AR26:AR31)</f>
        <v>195608</v>
      </c>
      <c r="AS32" s="21">
        <f t="shared" ref="AS32" si="228">SUM(AS26:AS31)</f>
        <v>175788</v>
      </c>
      <c r="AT32" s="21">
        <f t="shared" ref="AT32" si="229">SUM(AT26:AT31)</f>
        <v>212616</v>
      </c>
      <c r="AU32" s="21">
        <f t="shared" ref="AU32:BB32" si="230">SUM(AU26:AU31)</f>
        <v>478069</v>
      </c>
      <c r="AV32" s="21">
        <f t="shared" si="230"/>
        <v>165675</v>
      </c>
      <c r="AW32" s="21">
        <f t="shared" si="230"/>
        <v>502406</v>
      </c>
      <c r="AX32" s="21">
        <f t="shared" si="230"/>
        <v>462384</v>
      </c>
      <c r="AY32" s="21">
        <f t="shared" si="230"/>
        <v>615997</v>
      </c>
      <c r="AZ32" s="21">
        <f t="shared" si="230"/>
        <v>547294</v>
      </c>
      <c r="BA32" s="21">
        <f t="shared" si="230"/>
        <v>505695</v>
      </c>
      <c r="BB32" s="21">
        <f t="shared" si="230"/>
        <v>609451</v>
      </c>
      <c r="BC32" s="21">
        <f t="shared" ref="BC32:BD32" si="231">SUM(BC26:BC31)</f>
        <v>658056</v>
      </c>
      <c r="BD32" s="21">
        <f t="shared" si="231"/>
        <v>1385814</v>
      </c>
      <c r="BE32" s="21">
        <f t="shared" ref="BE32:BF32" si="232">SUM(BE26:BE31)</f>
        <v>827246</v>
      </c>
      <c r="BF32" s="21">
        <f t="shared" si="232"/>
        <v>486420</v>
      </c>
      <c r="BG32" s="21">
        <f t="shared" ref="BG32:BH32" si="233">SUM(BG26:BG31)</f>
        <v>893075</v>
      </c>
      <c r="BH32" s="21">
        <f t="shared" si="233"/>
        <v>510498</v>
      </c>
      <c r="BI32" s="21">
        <f t="shared" ref="BI32" si="234">SUM(BI26:BI31)</f>
        <v>541754</v>
      </c>
      <c r="BJ32" s="21">
        <f t="shared" ref="BJ32:BO32" si="235">SUM(BJ26:BJ31)</f>
        <v>302936</v>
      </c>
      <c r="BK32" s="21">
        <f t="shared" si="235"/>
        <v>424822</v>
      </c>
      <c r="BL32" s="21">
        <f t="shared" si="235"/>
        <v>2400958</v>
      </c>
      <c r="BM32" s="21">
        <f t="shared" si="235"/>
        <v>3126402</v>
      </c>
      <c r="BN32" s="21">
        <f t="shared" si="235"/>
        <v>1293912</v>
      </c>
      <c r="BO32" s="21">
        <f t="shared" si="235"/>
        <v>2502625</v>
      </c>
      <c r="BP32" s="21">
        <f t="shared" ref="BP32:BZ32" si="236">SUM(BP26:BP31)</f>
        <v>1465528</v>
      </c>
      <c r="BQ32" s="21">
        <f t="shared" si="236"/>
        <v>732107</v>
      </c>
      <c r="BR32" s="21">
        <f t="shared" si="236"/>
        <v>1109014</v>
      </c>
      <c r="BS32" s="21">
        <f t="shared" si="236"/>
        <v>578484</v>
      </c>
      <c r="BT32" s="21">
        <f t="shared" si="236"/>
        <v>704828</v>
      </c>
      <c r="BU32" s="21">
        <f t="shared" si="236"/>
        <v>1929683</v>
      </c>
      <c r="BV32" s="21">
        <f t="shared" si="236"/>
        <v>1457159</v>
      </c>
      <c r="BW32" s="21">
        <f t="shared" si="236"/>
        <v>76884</v>
      </c>
      <c r="BX32" s="21">
        <f t="shared" si="236"/>
        <v>259452</v>
      </c>
      <c r="BY32" s="21">
        <f t="shared" si="236"/>
        <v>676463</v>
      </c>
      <c r="BZ32" s="21">
        <f t="shared" si="236"/>
        <v>337750</v>
      </c>
      <c r="CA32" s="21">
        <f t="shared" ref="CA32:CB32" si="237">SUM(CA26:CA31)</f>
        <v>115182</v>
      </c>
      <c r="CB32" s="21">
        <f t="shared" si="237"/>
        <v>0</v>
      </c>
      <c r="CC32" s="21">
        <f t="shared" ref="CC32" si="238">SUM(CC26:CC31)</f>
        <v>448861</v>
      </c>
      <c r="CD32" s="21">
        <f t="shared" ref="CD32:CE32" si="239">SUM(CD26:CD31)</f>
        <v>643129</v>
      </c>
      <c r="CE32" s="21">
        <f t="shared" si="239"/>
        <v>2091106</v>
      </c>
      <c r="CF32" s="21">
        <f t="shared" ref="CF32:CG32" si="240">SUM(CF26:CF31)</f>
        <v>766513</v>
      </c>
      <c r="CG32" s="21">
        <f t="shared" si="240"/>
        <v>188087</v>
      </c>
      <c r="CH32" s="21">
        <f t="shared" ref="CH32:CI32" si="241">SUM(CH26:CH31)</f>
        <v>874601</v>
      </c>
      <c r="CI32" s="21">
        <f t="shared" si="241"/>
        <v>2869690</v>
      </c>
      <c r="CJ32" s="21">
        <f t="shared" ref="CJ32:CK32" si="242">SUM(CJ26:CJ31)</f>
        <v>1840432</v>
      </c>
      <c r="CK32" s="21">
        <f t="shared" si="242"/>
        <v>2957414</v>
      </c>
      <c r="CL32" s="21">
        <f t="shared" ref="CL32:CM32" si="243">SUM(CL26:CL31)</f>
        <v>3109264</v>
      </c>
      <c r="CM32" s="21">
        <f t="shared" si="243"/>
        <v>2372898</v>
      </c>
      <c r="CN32" s="21">
        <f t="shared" ref="CN32:CO32" si="244">SUM(CN26:CN31)</f>
        <v>1713238</v>
      </c>
      <c r="CO32" s="21">
        <f t="shared" si="244"/>
        <v>1020464</v>
      </c>
      <c r="CP32" s="21">
        <f t="shared" ref="CP32:CQ32" si="245">SUM(CP26:CP31)</f>
        <v>1382141</v>
      </c>
      <c r="CQ32" s="21">
        <f t="shared" si="245"/>
        <v>834311</v>
      </c>
      <c r="CR32" s="21">
        <f t="shared" ref="CR32:CS32" si="246">SUM(CR26:CR31)</f>
        <v>1039025</v>
      </c>
      <c r="CS32" s="21">
        <f t="shared" si="246"/>
        <v>1749951</v>
      </c>
      <c r="CT32" s="21">
        <f t="shared" ref="CT32:CU32" si="247">SUM(CT26:CT31)</f>
        <v>977319</v>
      </c>
      <c r="CU32" s="21">
        <f t="shared" si="247"/>
        <v>1455812</v>
      </c>
      <c r="CV32" s="21">
        <f t="shared" ref="CV32:CW32" si="248">SUM(CV26:CV31)</f>
        <v>1136435</v>
      </c>
      <c r="CW32" s="21">
        <f t="shared" si="248"/>
        <v>1682848</v>
      </c>
      <c r="CX32" s="21">
        <f t="shared" ref="CX32:CY32" si="249">SUM(CX26:CX31)</f>
        <v>3062808</v>
      </c>
      <c r="CY32" s="21">
        <f t="shared" si="249"/>
        <v>2882896</v>
      </c>
      <c r="CZ32" s="21">
        <f t="shared" ref="CZ32:DA32" si="250">SUM(CZ26:CZ31)</f>
        <v>2105658</v>
      </c>
      <c r="DA32" s="21">
        <f t="shared" si="250"/>
        <v>2542368</v>
      </c>
      <c r="DB32" s="21">
        <f t="shared" ref="DB32:DC32" si="251">SUM(DB26:DB31)</f>
        <v>3443673</v>
      </c>
      <c r="DC32" s="21">
        <f t="shared" si="251"/>
        <v>1382386</v>
      </c>
      <c r="DD32" s="21">
        <f t="shared" ref="DD32:DE32" si="252">SUM(DD26:DD31)</f>
        <v>2048749</v>
      </c>
      <c r="DE32" s="21">
        <f t="shared" si="252"/>
        <v>2610208</v>
      </c>
      <c r="DF32" s="21">
        <f t="shared" ref="DF32:DG32" si="253">SUM(DF26:DF31)</f>
        <v>2248040</v>
      </c>
      <c r="DG32" s="21">
        <f t="shared" si="253"/>
        <v>1772218</v>
      </c>
      <c r="DH32" s="21">
        <f t="shared" ref="DH32:DI32" si="254">SUM(DH26:DH31)</f>
        <v>2332123</v>
      </c>
      <c r="DI32" s="21">
        <f t="shared" si="254"/>
        <v>2450656</v>
      </c>
      <c r="DJ32" s="21">
        <f t="shared" ref="DJ32:DK32" si="255">SUM(DJ26:DJ31)</f>
        <v>3524184</v>
      </c>
      <c r="DK32" s="21">
        <f t="shared" si="255"/>
        <v>2286606</v>
      </c>
    </row>
    <row r="35" spans="24:24" x14ac:dyDescent="0.25">
      <c r="X35" s="12"/>
    </row>
  </sheetData>
  <phoneticPr fontId="3" type="noConversion"/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90F8D5FCB25D4A989930E0C1EC6522" ma:contentTypeVersion="0" ma:contentTypeDescription="Create a new document." ma:contentTypeScope="" ma:versionID="de113eac53288711ce30e59726fea25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B29A8F-12AA-4170-B9ED-739954CAA51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C0D13AD-72C2-41FD-8C7F-4B3C66A233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551142C-5583-4EA3-99C4-187DBA12A79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9c0489a-fc8c-4c0f-b981-b10463d2834b}" enabled="1" method="Privileged" siteId="{03b86c3a-8954-4d19-9522-e464fe9f22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Manager/>
  <Company>BAE Systems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DuBois, Scott (US)</dc:creator>
  <cp:keywords/>
  <dc:description/>
  <cp:lastModifiedBy>Davis, Harry B (US)</cp:lastModifiedBy>
  <cp:revision/>
  <dcterms:created xsi:type="dcterms:W3CDTF">2017-09-29T16:19:55Z</dcterms:created>
  <dcterms:modified xsi:type="dcterms:W3CDTF">2026-10-13T17:27:13Z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0x010100D590F8D5FCB25D4A989930E0C1EC6522</vt:lpwstr>
  </property>
</Properties>
</file>